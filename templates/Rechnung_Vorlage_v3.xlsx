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9e13ac9897c33/Sonstiges/Vorlagen/"/>
    </mc:Choice>
  </mc:AlternateContent>
  <xr:revisionPtr revIDLastSave="130" documentId="8_{91DE6E46-B8C0-6E41-8CD5-B71943095EF5}" xr6:coauthVersionLast="47" xr6:coauthVersionMax="47" xr10:uidLastSave="{195920B8-03F8-443F-821B-7CDFC41A83F2}"/>
  <bookViews>
    <workbookView xWindow="25800" yWindow="0" windowWidth="25800" windowHeight="21000" xr2:uid="{CAD5944C-1FAD-446E-98A0-B4088CAB0B5B}"/>
  </bookViews>
  <sheets>
    <sheet name="Tabelle1" sheetId="1" r:id="rId1"/>
  </sheets>
  <definedNames>
    <definedName name="_xlnm.Print_Area" localSheetId="0">Tabelle1!$A$1:$E$49</definedName>
    <definedName name="Firmenname">Tabelle1!$B$1</definedName>
  </definedName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<sst xmlns="http://schemas.openxmlformats.org/spreadsheetml/2006/main" count="40" uniqueCount="40">
  <si>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r>
      <t>Aust Umzüge &amp; Haushaltssauflösungen</t>
    </r>
    <r>
      <rPr>
        <sz val="11"/>
        <color rgb="FF000000"/>
        <rFont val="Calibri"/>
        <family val="2"/>
        <scheme val="minor"/>
      </rPr>
      <t> </t>
    </r>
    <r>
      <rPr>
        <sz val="8"/>
        <color rgb="FF000000"/>
        <rFont val="Calibri"/>
        <family val="2"/>
        <scheme val="minor"/>
      </rPr>
      <t> </t>
    </r>
  </si>
  <si>
    <t>Ehrlicherstr. 38  31135 Hildesheim</t>
  </si>
  <si>
    <t>Luttert Ordnungs- und Regalsysteme</t>
  </si>
  <si>
    <t>UG (Haftungsbeschränkt)</t>
  </si>
  <si>
    <t>info@aust-umzuege.de</t>
  </si>
  <si>
    <t>z.H. Hernn Luttert</t>
  </si>
  <si>
    <t>www.aust-umzuege.de</t>
  </si>
  <si>
    <t>Nedderfeld 106</t>
  </si>
  <si>
    <t>19063 Schwerin</t>
  </si>
  <si>
    <t>Leistungsdatum</t>
  </si>
  <si>
    <t>Datum</t>
  </si>
  <si>
    <t>12-13.01.2026</t>
  </si>
  <si>
    <t>Rechnung Nr.2026-01</t>
  </si>
  <si>
    <t>Sehr geehrter Herr  Luttert,</t>
  </si>
  <si>
    <t xml:space="preserve">wir bedanken uns für Ihr Vertrauen und stellen Ihnen verinbarungsgemäß folgendes in Rechnung. </t>
  </si>
  <si>
    <t>Auftragsort:  Hamburg</t>
  </si>
  <si>
    <t>Pos.</t>
  </si>
  <si>
    <t>Bezeichnung</t>
  </si>
  <si>
    <t>Menge</t>
  </si>
  <si>
    <t>Einzelpreis</t>
  </si>
  <si>
    <t>Gesamtpreis</t>
  </si>
  <si>
    <t>1.</t>
  </si>
  <si>
    <t xml:space="preserve">Umzugshelfer </t>
  </si>
  <si>
    <t>2.</t>
  </si>
  <si>
    <t>Transporter 3,5t</t>
  </si>
  <si>
    <t>3.</t>
  </si>
  <si>
    <t>Verpflegung Kl.</t>
  </si>
  <si>
    <t>4.</t>
  </si>
  <si>
    <t>Verpflegung Gr.</t>
  </si>
  <si>
    <t>5.</t>
  </si>
  <si>
    <t>An/Abfahrt</t>
  </si>
  <si>
    <t>6.</t>
  </si>
  <si>
    <t>Unterkunft</t>
  </si>
  <si>
    <t>7.</t>
  </si>
  <si>
    <t>Nettosumme</t>
  </si>
  <si>
    <t>zzgl. 19%MwSt.</t>
  </si>
  <si>
    <t>Rechnungsbetrag</t>
  </si>
  <si>
    <t>Bitte überweisen Sie den Rechnungsbetrag innerhalb von 7 Tagen unter Angabe der Rechnungsnummer auf das unten genannte Konto.</t>
  </si>
  <si>
    <t>Mit freundlichen Grüßen </t>
  </si>
  <si>
    <t>Aust Umzüge &amp; Haushaltsauflösungen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</si>
</sst>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[$-409]mmmm\ d\,\ yyyy;@"/>
    <numFmt numFmtId="165" formatCode="[&lt;=9999999]###\-####;\(###\)\ ###\-####"/>
    <numFmt numFmtId="166" formatCode="_-* #,##0.00\ [$€-407]_-;\-* #,##0.00\ [$€-407]_-;_-* &quot;-&quot;??\ [$€-407]_-;_-@_-"/>
    <numFmt numFmtId="167" formatCode="#,##0.00\ &quot;€&quot;"/>
  </numFmts>
  <fonts count="2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8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4" fontId="3" fillId="0" borderId="0" applyFont="0" applyFill="0" applyBorder="0">
      <alignment horizontal="left"/>
    </xf>
    <xf numFmtId="165" fontId="3" fillId="0" borderId="0" applyFont="0" applyFill="0" applyBorder="0">
      <alignment horizontal="left" vertical="top"/>
    </xf>
    <xf numFmtId="0" fontId="3" fillId="0" borderId="0" applyNumberFormat="0" applyFont="0" applyFill="0" applyBorder="0">
      <alignment horizontal="left" vertical="top" wrapText="1"/>
    </xf>
    <xf numFmtId="0" fontId="3" fillId="0" borderId="0" applyNumberFormat="0" applyFont="0" applyFill="0" applyBorder="0" applyProtection="0">
      <alignment horizontal="right" vertical="center" indent="1"/>
    </xf>
    <xf numFmtId="44" fontId="1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59">
    <xf numFmtId="0" fontId="0" fillId="0" borderId="0" xfId="0"/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/>
    <xf numFmtId="0" fontId="16" fillId="0" borderId="0" xfId="0" applyFont="1"/>
    <xf numFmtId="14" fontId="16" fillId="0" borderId="0" xfId="0" applyNumberFormat="1" applyFont="1" applyAlignment="1">
      <alignment horizontal="left" vertical="center"/>
    </xf>
    <xf numFmtId="0" fontId="18" fillId="0" borderId="0" xfId="6" applyFont="1"/>
    <xf numFmtId="0" fontId="16" fillId="2" borderId="0" xfId="0" applyFont="1" applyFill="1"/>
    <xf numFmtId="166" fontId="16" fillId="2" borderId="0" xfId="0" applyNumberFormat="1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0" xfId="0" applyFont="1"/>
    <xf numFmtId="0" fontId="0" fillId="2" borderId="3" xfId="0" applyFill="1" applyBorder="1"/>
    <xf numFmtId="0" fontId="0" fillId="2" borderId="7" xfId="0" applyFill="1" applyBorder="1"/>
    <xf numFmtId="0" fontId="2" fillId="2" borderId="7" xfId="0" applyFont="1" applyFill="1" applyBorder="1"/>
    <xf numFmtId="166" fontId="2" fillId="2" borderId="7" xfId="0" applyNumberFormat="1" applyFont="1" applyFill="1" applyBorder="1"/>
    <xf numFmtId="0" fontId="17" fillId="0" borderId="0" xfId="0" applyFon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0" fillId="2" borderId="0" xfId="0" applyFill="1"/>
    <xf numFmtId="14" fontId="1" fillId="0" borderId="0" xfId="0" applyNumberFormat="1" applyFont="1" applyAlignment="1">
      <alignment horizontal="left" vertical="center"/>
    </xf>
    <xf numFmtId="49" fontId="1" fillId="3" borderId="0" xfId="0" applyNumberFormat="1" applyFont="1" applyFill="1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67" fontId="1" fillId="3" borderId="0" xfId="0" applyNumberFormat="1" applyFont="1" applyFill="1" applyAlignment="1">
      <alignment horizontal="center"/>
    </xf>
    <xf numFmtId="167" fontId="1" fillId="3" borderId="0" xfId="5" applyNumberFormat="1" applyFont="1" applyFill="1" applyBorder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 vertical="center"/>
    </xf>
    <xf numFmtId="167" fontId="1" fillId="0" borderId="0" xfId="5" applyNumberFormat="1" applyFont="1" applyBorder="1"/>
    <xf numFmtId="167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 vertical="center"/>
    </xf>
    <xf numFmtId="167" fontId="1" fillId="2" borderId="0" xfId="5" applyNumberFormat="1" applyFont="1" applyFill="1" applyBorder="1"/>
    <xf numFmtId="0" fontId="1" fillId="2" borderId="0" xfId="0" applyFont="1" applyFill="1"/>
    <xf numFmtId="0" fontId="1" fillId="2" borderId="1" xfId="0" applyFont="1" applyFill="1" applyBorder="1"/>
    <xf numFmtId="166" fontId="1" fillId="2" borderId="1" xfId="0" applyNumberFormat="1" applyFont="1" applyFill="1" applyBorder="1"/>
    <xf numFmtId="9" fontId="1" fillId="2" borderId="2" xfId="0" applyNumberFormat="1" applyFont="1" applyFill="1" applyBorder="1"/>
    <xf numFmtId="166" fontId="1" fillId="2" borderId="2" xfId="0" applyNumberFormat="1" applyFont="1" applyFill="1" applyBorder="1"/>
    <xf numFmtId="166" fontId="1" fillId="2" borderId="0" xfId="0" applyNumberFormat="1" applyFont="1" applyFill="1"/>
  </cellXfs>
  <cellStyles count="7">
    <cellStyle name="Datum" xfId="1" xr:uid="{502F0A49-AFAC-42A8-8516-69EDD8429EA1}"/>
    <cellStyle name="Hyperlink" xfId="6" xr:uid="{00000000-000B-0000-0000-000008000000}"/>
    <cellStyle name="Produktbeschreibung" xfId="3" xr:uid="{B5DBB7CF-41DA-4756-867C-66C882A7C195}"/>
    <cellStyle name="Rechtsbündig" xfId="4" xr:uid="{BC060E7F-830F-4E01-A199-C3644E1B8F0F}"/>
    <cellStyle name="Standard" xfId="0" builtinId="0"/>
    <cellStyle name="Telefon" xfId="2" xr:uid="{F8D6A17B-9F01-4003-8360-EBD10EFE81BE}"/>
    <cellStyle name="Währung" xfId="5" builtinId="4"/>
  </cellStyles>
  <dxfs count="7"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3869"/>
      <color rgb="FFFF6600"/>
      <color rgb="FF80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448235</xdr:colOff>
      <xdr:row>0</xdr:row>
      <xdr:rowOff>0</xdr:rowOff>
    </xdr:from>
    <xdr:to>
      <xdr:col>5</xdr:col>
      <xdr:colOff>107198</xdr:colOff>
      <xdr:row>9</xdr:row>
      <xdr:rowOff>44825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8D1CFB7-89C5-6836-C7CB-77C5ECB9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8882" y="0"/>
          <a:ext cx="2269934" cy="1815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CE70-A0A9-4796-9ED0-F2EAD5846BF8}">
  <sheetPr>
    <pageSetUpPr fitToPage="1"/>
  </sheetPr>
  <dimension ref="A1:E49"/>
  <sheetViews>
    <sheetView tabSelected="1" view="pageLayout" zoomScale="85" zoomScaleNormal="125" zoomScalePageLayoutView="85" workbookViewId="0">
      <selection activeCell="C46" sqref="C46"/>
    </sheetView>
  </sheetViews>
  <sheetFormatPr defaultColWidth="11.42578125" defaultRowHeight="15"/>
  <cols>
    <col min="1" max="1" width="5.42578125" customWidth="1"/>
    <col min="2" max="2" width="41.42578125" customWidth="1"/>
    <col min="3" max="4" width="12.7109375" customWidth="1"/>
    <col min="5" max="5" width="23.7109375" customWidth="1"/>
  </cols>
  <sheetData>
    <row r="1" spans="1:5" ht="21.75" customHeight="1"/>
    <row r="2" spans="1:5" ht="21">
      <c r="A2" s="32"/>
      <c r="B2" s="32"/>
      <c r="C2" s="32"/>
      <c r="D2" s="25"/>
    </row>
    <row r="3" spans="1:5" ht="18.75">
      <c r="A3" s="33"/>
      <c r="B3" s="33"/>
      <c r="C3" s="33"/>
      <c r="D3" s="26"/>
    </row>
    <row r="5" spans="1:5" ht="9.75" customHeight="1">
      <c r="A5" s="35" t="s">
        <v>0</v>
      </c>
      <c r="B5" s="35"/>
    </row>
    <row r="6" spans="1:5" ht="10.5" customHeight="1">
      <c r="A6" s="35" t="s">
        <v>1</v>
      </c>
      <c r="B6" s="35"/>
    </row>
    <row r="7" spans="1:5" ht="10.5" customHeight="1">
      <c r="A7" s="28"/>
      <c r="B7" s="28"/>
    </row>
    <row r="8" spans="1:5" ht="15.75">
      <c r="A8" s="13" t="s">
        <v>2</v>
      </c>
      <c r="B8" s="18"/>
    </row>
    <row r="9" spans="1:5" ht="15.75">
      <c r="A9" t="s">
        <v>3</v>
      </c>
      <c r="E9" s="7" t="s">
        <v>4</v>
      </c>
    </row>
    <row r="10" spans="1:5" ht="15.75">
      <c r="A10" t="s">
        <v>5</v>
      </c>
      <c r="B10" s="38"/>
      <c r="E10" s="7" t="s">
        <v>6</v>
      </c>
    </row>
    <row r="11" spans="1:5" ht="15.75">
      <c r="A11" t="s">
        <v>7</v>
      </c>
      <c r="E11" s="38"/>
    </row>
    <row r="12" spans="1:5" ht="15.75">
      <c r="A12" s="13" t="s">
        <v>8</v>
      </c>
      <c r="E12" s="38"/>
    </row>
    <row r="14" spans="1:5">
      <c r="E14" s="24"/>
    </row>
    <row r="15" spans="1:5" ht="15.75">
      <c r="E15" s="7"/>
    </row>
    <row r="16" spans="1:5" ht="15.75">
      <c r="E16" s="7"/>
    </row>
    <row r="18" spans="1:5" ht="15.75">
      <c r="C18" s="5" t="s">
        <v>9</v>
      </c>
      <c r="D18" s="5"/>
      <c r="E18" s="6" t="s">
        <v>10</v>
      </c>
    </row>
    <row r="19" spans="1:5" ht="15.75">
      <c r="C19" s="22" t="s">
        <v>11</v>
      </c>
      <c r="D19" s="22"/>
      <c r="E19" s="22">
        <f ca="1">TODAY()</f>
      </c>
    </row>
    <row r="20" spans="1:5" ht="11.1" customHeight="1">
      <c r="C20" s="1"/>
      <c r="D20" s="1"/>
      <c r="E20" s="1"/>
    </row>
    <row r="21" spans="1:5" ht="3.95" customHeight="1"/>
    <row r="22" spans="1:5" ht="23.25">
      <c r="A22" s="34" t="s">
        <v>12</v>
      </c>
      <c r="B22" s="34"/>
      <c r="C22" s="34"/>
      <c r="D22" s="27"/>
    </row>
    <row r="23" spans="1:5" ht="15" customHeight="1">
      <c r="A23" s="4"/>
      <c r="B23" s="2"/>
    </row>
    <row r="24" spans="1:5" ht="18" customHeight="1">
      <c r="A24" s="39" t="s">
        <v>13</v>
      </c>
      <c r="B24" s="39"/>
      <c r="C24" s="38"/>
      <c r="D24" s="38"/>
      <c r="E24" s="38"/>
    </row>
    <row r="25" spans="1:5" ht="7.5" customHeight="1">
      <c r="A25" s="38"/>
      <c r="B25" s="38"/>
      <c r="C25" s="38"/>
      <c r="D25" s="38"/>
      <c r="E25" s="38"/>
    </row>
    <row r="26" spans="1:5" ht="25.5" customHeight="1">
      <c r="A26" s="37" t="s">
        <v>14</v>
      </c>
      <c r="B26" s="37"/>
      <c r="C26" s="37"/>
      <c r="D26" s="37"/>
      <c r="E26" s="37"/>
    </row>
    <row r="27" spans="1:5" ht="21" customHeight="1">
      <c r="A27" s="37" t="s">
        <v>15</v>
      </c>
      <c r="B27" s="37"/>
      <c r="C27" s="37"/>
      <c r="D27" s="37"/>
      <c r="E27" s="37"/>
    </row>
    <row r="28" spans="1:5" ht="15.75" customHeight="1">
      <c r="A28" s="37"/>
      <c r="B28" s="37"/>
      <c r="C28" s="37"/>
      <c r="D28" s="37"/>
      <c r="E28" s="37"/>
    </row>
    <row r="30" spans="1:5" ht="20.25" customHeight="1">
      <c r="A30" s="19" t="s">
        <v>16</v>
      </c>
      <c r="B30" s="19" t="s">
        <v>17</v>
      </c>
      <c r="C30" s="19" t="s">
        <v>18</v>
      </c>
      <c r="D30" s="19" t="s">
        <v>19</v>
      </c>
      <c r="E30" s="20" t="s">
        <v>20</v>
      </c>
    </row>
    <row r="31" spans="1:5" ht="15.75">
      <c r="A31" s="40" t="s">
        <v>0</v>
      </c>
      <c r="B31" s="23" t="s">
        <v>0</v>
      </c>
      <c r="C31" s="41">
        <v>0</v>
      </c>
      <c r="D31" s="42">
        <v>0</v>
      </c>
      <c r="E31" s="43">
        <f>D31*C31</f>
      </c>
    </row>
    <row r="32" spans="1:5" ht="15.75">
      <c r="A32" s="44" t="s">
        <v>0</v>
      </c>
      <c r="B32" s="45" t="s">
        <v>0</v>
      </c>
      <c r="C32" s="44">
        <v>0</v>
      </c>
      <c r="D32" s="46">
        <v>0</v>
      </c>
      <c r="E32" s="47">
        <f>D32*C32</f>
      </c>
    </row>
    <row r="33" spans="1:5" ht="15.75">
      <c r="A33" s="40" t="s">
        <v>0</v>
      </c>
      <c r="B33" s="23" t="s">
        <v>0</v>
      </c>
      <c r="C33" s="40">
        <v>0</v>
      </c>
      <c r="D33" s="48">
        <v>0</v>
      </c>
      <c r="E33" s="43">
        <f>D33*C33</f>
      </c>
    </row>
    <row r="34" spans="1:5" ht="15.75">
      <c r="A34" s="49" t="s">
        <v>0</v>
      </c>
      <c r="B34" s="50" t="s">
        <v>0</v>
      </c>
      <c r="C34" s="49">
        <v>0</v>
      </c>
      <c r="D34" s="51">
        <v>0</v>
      </c>
      <c r="E34" s="52">
        <f>D34*C34</f>
      </c>
    </row>
    <row r="35" spans="1:5" ht="15.75">
      <c r="A35" s="40" t="s">
        <v>0</v>
      </c>
      <c r="B35" s="23" t="s">
        <v>0</v>
      </c>
      <c r="C35" s="40">
        <v>0</v>
      </c>
      <c r="D35" s="48">
        <v>0</v>
      </c>
      <c r="E35" s="43">
        <f>D35*C35</f>
      </c>
    </row>
    <row r="36" spans="1:5" ht="15.75">
      <c r="A36" s="49" t="s">
        <v>0</v>
      </c>
      <c r="B36" s="50" t="s">
        <v>0</v>
      </c>
      <c r="C36" s="49">
        <v>0</v>
      </c>
      <c r="D36" s="51"/>
      <c r="E36" s="52">
        <f>D36*C36</f>
      </c>
    </row>
    <row r="37" spans="1:5" ht="15.75">
      <c r="A37" s="40" t="s">
        <v>0</v>
      </c>
      <c r="B37" s="23"/>
      <c r="C37" s="40"/>
      <c r="D37" s="48"/>
      <c r="E37" s="43">
        <f>D37*C37</f>
      </c>
    </row>
    <row r="38" spans="1:5" ht="21.75" customHeight="1">
      <c r="A38" s="53"/>
      <c r="B38" s="53"/>
      <c r="C38" s="54" t="s">
        <v>34</v>
      </c>
      <c r="D38" s="54"/>
      <c r="E38" s="55">
        <f>SUM(E31:E37)</f>
      </c>
    </row>
    <row r="39" spans="1:5" ht="21.75" customHeight="1">
      <c r="A39" s="53"/>
      <c r="B39" s="21"/>
      <c r="C39" s="56" t="s">
        <v>35</v>
      </c>
      <c r="D39" s="56"/>
      <c r="E39" s="57">
        <f>E38*19%</f>
      </c>
    </row>
    <row r="40" spans="1:5" ht="9" customHeight="1">
      <c r="A40" s="53"/>
      <c r="B40" s="53"/>
      <c r="C40" s="53"/>
      <c r="D40" s="53"/>
      <c r="E40" s="58"/>
    </row>
    <row r="41" spans="1:5" ht="21.75" customHeight="1">
      <c r="A41" s="53"/>
      <c r="B41" s="53"/>
      <c r="C41" s="8" t="s">
        <v>36</v>
      </c>
      <c r="D41" s="8"/>
      <c r="E41" s="9">
        <f>E38+E39</f>
      </c>
    </row>
    <row r="42" spans="1:5" ht="15.75" customHeight="1">
      <c r="A42" s="14"/>
      <c r="B42" s="15"/>
      <c r="C42" s="16"/>
      <c r="D42" s="16"/>
      <c r="E42" s="17"/>
    </row>
    <row r="43" spans="1:5" ht="15.75" customHeight="1">
      <c r="A43" s="10"/>
      <c r="B43" s="11"/>
      <c r="C43" s="12"/>
    </row>
    <row r="44" spans="1:5">
      <c r="A44" s="36" t="s">
        <v>37</v>
      </c>
      <c r="B44" s="36"/>
      <c r="C44" s="36"/>
      <c r="D44" s="36"/>
      <c r="E44" s="36"/>
    </row>
    <row r="45" spans="1:5" ht="32.1" customHeight="1">
      <c r="A45" s="36"/>
      <c r="B45" s="36"/>
      <c r="C45" s="36"/>
      <c r="D45" s="36"/>
      <c r="E45" s="36"/>
    </row>
    <row r="46" spans="1:5" ht="15.75">
      <c r="A46" s="38"/>
      <c r="B46" s="38"/>
      <c r="C46" s="38"/>
      <c r="D46" s="38"/>
      <c r="E46" s="38"/>
    </row>
    <row r="47" spans="1:5" ht="15.75" customHeight="1">
      <c r="A47" s="29" t="s">
        <v>38</v>
      </c>
      <c r="B47" s="29"/>
      <c r="C47" s="38"/>
      <c r="D47" s="38"/>
      <c r="E47" s="38"/>
    </row>
    <row r="48" spans="1:5" ht="6" customHeight="1">
      <c r="A48" s="3"/>
    </row>
    <row r="49" spans="1:2" ht="33" customHeight="1">
      <c r="A49" s="30" t="s">
        <v>39</v>
      </c>
      <c r="B49" s="31"/>
    </row>
  </sheetData>
  <mergeCells count="11">
    <mergeCell ref="A47:B47"/>
    <mergeCell ref="A49:B49"/>
    <mergeCell ref="A2:C2"/>
    <mergeCell ref="A3:C3"/>
    <mergeCell ref="A22:C22"/>
    <mergeCell ref="A24:B24"/>
    <mergeCell ref="A5:B5"/>
    <mergeCell ref="A6:B6"/>
    <mergeCell ref="A44:E45"/>
    <mergeCell ref="A26:E26"/>
    <mergeCell ref="A27:E28"/>
  </mergeCells>
  <phoneticPr fontId="9" type="noConversion"/>
  <pageMargins left="1" right="1" top="1" bottom="1" header="0.5" footer="0.5"/>
  <pageSetup paperSize="9" scale="74" orientation="portrait" r:id="rId1"/>
  <headerFooter scaleWithDoc="0" alignWithMargins="0">
    <oddFooter>&amp;L&amp;8Aust Umzüge &amp; Haushaltsauflösungen
Kaiserstr. 32
31134  Hildesheim &amp;C&amp;8Sparkasse Hildesheim Goslar Peine
 IBAN: DE67259501300057453749 
BIC: NOLADE21HIK &amp;R&amp;8 St.Nr.: 30/101/22146 
USt-IdNr.: DE330779170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Windows7</dc:creator>
  <cp:keywords/>
  <dc:description/>
  <cp:lastModifiedBy>Alex Aust</cp:lastModifiedBy>
  <cp:revision/>
  <dcterms:created xsi:type="dcterms:W3CDTF">2022-12-28T15:38:18Z</dcterms:created>
  <dcterms:modified xsi:type="dcterms:W3CDTF">2026-03-02T10:52:39Z</dcterms:modified>
  <cp:category/>
  <cp:contentStatus/>
</cp:coreProperties>
</file>