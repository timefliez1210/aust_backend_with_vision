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800" yWindow="0" windowWidth="25800" windowHeight="21000" tabRatio="600" firstSheet="0" activeTab="0" autoFilterDateGrouping="1"/>
  </bookViews>
  <sheets>
    <sheet name="Tabelle1" sheetId="1" state="visible" r:id="rId1"/>
  </sheets>
  <definedNames>
    <definedName name="Firmenname">Tabelle1!$B$1</definedName>
    <definedName name="_xlnm.Print_Area" localSheetId="0">'Tabelle1'!$A$1:$E$56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.00\ [$€-407]_-;\-* #,##0.00\ [$€-407]_-;_-* &quot;-&quot;??\ [$€-407]_-;_-@_-"/>
    <numFmt numFmtId="165" formatCode="#,##0.00\ &quot;€&quot;"/>
    <numFmt numFmtId="166" formatCode="[$-409]mmmm\ d\,\ yyyy;@"/>
    <numFmt numFmtId="167" formatCode="[&lt;=9999999]###\-####;\(###\)\ ###\-####"/>
    <numFmt numFmtId="168" formatCode="#,##0.00;[Red](#,##0.00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color rgb="FF000000"/>
      <sz val="8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Arial"/>
      <family val="2"/>
      <b val="1"/>
      <color rgb="FF333333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rgb="FF80000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66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11" fillId="0" borderId="0"/>
    <xf numFmtId="166" fontId="3" fillId="0" borderId="0" applyAlignment="1">
      <alignment horizontal="left"/>
    </xf>
    <xf numFmtId="167" fontId="3" fillId="0" borderId="0" applyAlignment="1">
      <alignment horizontal="left" vertical="top"/>
    </xf>
    <xf numFmtId="0" fontId="3" fillId="0" borderId="0" applyAlignment="1">
      <alignment horizontal="left" vertical="top" wrapText="1"/>
    </xf>
    <xf numFmtId="0" fontId="3" fillId="0" borderId="0" applyAlignment="1">
      <alignment horizontal="right" vertical="center" indent="1"/>
    </xf>
    <xf numFmtId="44" fontId="11" fillId="0" borderId="0"/>
    <xf numFmtId="0" fontId="15" fillId="0" borderId="0"/>
  </cellStyleXfs>
  <cellXfs count="74">
    <xf numFmtId="0" fontId="0" fillId="0" borderId="0" pivotButton="0" quotePrefix="0" xfId="0"/>
    <xf numFmtId="14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6" fillId="0" borderId="0" pivotButton="0" quotePrefix="0" xfId="0"/>
    <xf numFmtId="14" fontId="16" fillId="0" borderId="0" applyAlignment="1" pivotButton="0" quotePrefix="0" xfId="0">
      <alignment horizontal="left" vertical="center"/>
    </xf>
    <xf numFmtId="0" fontId="18" fillId="0" borderId="0" pivotButton="0" quotePrefix="0" xfId="6"/>
    <xf numFmtId="0" fontId="16" fillId="2" borderId="0" pivotButton="0" quotePrefix="0" xfId="0"/>
    <xf numFmtId="164" fontId="16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0" pivotButton="0" quotePrefix="0" xfId="0"/>
    <xf numFmtId="0" fontId="0" fillId="2" borderId="3" pivotButton="0" quotePrefix="0" xfId="0"/>
    <xf numFmtId="0" fontId="0" fillId="2" borderId="7" pivotButton="0" quotePrefix="0" xfId="0"/>
    <xf numFmtId="0" fontId="2" fillId="2" borderId="7" pivotButton="0" quotePrefix="0" xfId="0"/>
    <xf numFmtId="164" fontId="2" fillId="2" borderId="7" pivotButton="0" quotePrefix="0" xfId="0"/>
    <xf numFmtId="0" fontId="17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  <xf numFmtId="0" fontId="0" fillId="2" borderId="0" pivotButton="0" quotePrefix="0" xfId="0"/>
    <xf numFmtId="14" fontId="1" fillId="0" borderId="0" applyAlignment="1" pivotButton="0" quotePrefix="0" xfId="0">
      <alignment horizontal="left" vertical="center"/>
    </xf>
    <xf numFmtId="49" fontId="1" fillId="3" borderId="0" applyAlignment="1" pivotButton="0" quotePrefix="0" xfId="0">
      <alignment horizontal="center"/>
    </xf>
    <xf numFmtId="14" fontId="0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165" fontId="1" fillId="3" borderId="0" applyAlignment="1" pivotButton="0" quotePrefix="0" xfId="0">
      <alignment horizontal="center"/>
    </xf>
    <xf numFmtId="165" fontId="1" fillId="3" borderId="0" pivotButton="0" quotePrefix="0" xfId="5"/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 vertical="center"/>
    </xf>
    <xf numFmtId="165" fontId="1" fillId="0" borderId="0" pivotButton="0" quotePrefix="0" xfId="5"/>
    <xf numFmtId="165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 vertical="center"/>
    </xf>
    <xf numFmtId="165" fontId="1" fillId="2" borderId="0" pivotButton="0" quotePrefix="0" xfId="5"/>
    <xf numFmtId="0" fontId="1" fillId="2" borderId="0" pivotButton="0" quotePrefix="0" xfId="0"/>
    <xf numFmtId="0" fontId="1" fillId="2" borderId="1" pivotButton="0" quotePrefix="0" xfId="0"/>
    <xf numFmtId="164" fontId="1" fillId="2" borderId="1" pivotButton="0" quotePrefix="0" xfId="0"/>
    <xf numFmtId="9" fontId="1" fillId="2" borderId="2" pivotButton="0" quotePrefix="0" xfId="0"/>
    <xf numFmtId="164" fontId="1" fillId="2" borderId="2" pivotButton="0" quotePrefix="0" xfId="0"/>
    <xf numFmtId="164" fontId="1" fillId="2" borderId="0" pivotButton="0" quotePrefix="0" xfId="0"/>
    <xf numFmtId="0" fontId="1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165" fontId="1" fillId="3" borderId="0" applyAlignment="1" pivotButton="0" quotePrefix="0" xfId="0">
      <alignment horizontal="center"/>
    </xf>
    <xf numFmtId="165" fontId="1" fillId="3" borderId="0" pivotButton="0" quotePrefix="0" xfId="5"/>
    <xf numFmtId="0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5" fontId="1" fillId="0" borderId="0" pivotButton="0" quotePrefix="0" xfId="5"/>
    <xf numFmtId="0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165" fontId="1" fillId="2" borderId="0" pivotButton="0" quotePrefix="0" xfId="5"/>
    <xf numFmtId="165" fontId="1" fillId="2" borderId="0" pivotButton="0" quotePrefix="0" xfId="0"/>
    <xf numFmtId="165" fontId="1" fillId="0" borderId="0" pivotButton="0" quotePrefix="0" xfId="0"/>
    <xf numFmtId="0" fontId="1" fillId="0" borderId="1" pivotButton="0" quotePrefix="0" xfId="0"/>
    <xf numFmtId="164" fontId="1" fillId="0" borderId="1" pivotButton="0" quotePrefix="0" xfId="0"/>
    <xf numFmtId="9" fontId="1" fillId="0" borderId="2" pivotButton="0" quotePrefix="0" xfId="0"/>
    <xf numFmtId="164" fontId="1" fillId="0" borderId="2" pivotButton="0" quotePrefix="0" xfId="0"/>
    <xf numFmtId="164" fontId="16" fillId="0" borderId="0" pivotButton="0" quotePrefix="0" xfId="0"/>
  </cellXfs>
  <cellStyles count="7">
    <cellStyle name="Standard" xfId="0" builtinId="0"/>
    <cellStyle name="Datum" xfId="1"/>
    <cellStyle name="Telefon" xfId="2"/>
    <cellStyle name="Produktbeschreibung" xfId="3"/>
    <cellStyle name="Rechtsbündig" xfId="4"/>
    <cellStyle name="Währung" xfId="5" builtinId="4"/>
    <cellStyle name="Hyperlink" xfId="6"/>
  </cellStyles>
  <dxfs count="7">
    <dxf>
      <font>
        <name val="Calibri"/>
        <family val="2"/>
        <strike val="0"/>
        <outline val="0"/>
        <shadow val="0"/>
        <vertAlign val="baseline"/>
        <scheme val="minor"/>
      </font>
    </dxf>
    <dxf>
      <font>
        <name val="Calibri"/>
        <family val="2"/>
        <strike val="0"/>
        <outline val="0"/>
        <shadow val="0"/>
        <vertAlign val="baseline"/>
        <scheme val="minor"/>
      </font>
    </dxf>
    <dxf>
      <font>
        <name val="Calibri"/>
        <family val="2"/>
        <strike val="0"/>
        <outline val="0"/>
        <shadow val="0"/>
        <vertAlign val="baseline"/>
        <scheme val="minor"/>
      </font>
    </dxf>
    <dxf>
      <font>
        <name val="Calibri"/>
        <family val="2"/>
        <strike val="0"/>
        <outline val="0"/>
        <shadow val="0"/>
        <vertAlign val="baseline"/>
        <scheme val="minor"/>
      </font>
    </dxf>
    <dxf>
      <font>
        <name val="Calibri"/>
        <family val="2"/>
        <strike val="0"/>
        <outline val="0"/>
        <shadow val="0"/>
        <vertAlign val="baseline"/>
        <scheme val="minor"/>
      </font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6600"/>
        </patternFill>
      </fill>
      <alignment horizontal="center"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448235</colOff>
      <row>0</row>
      <rowOff>0</rowOff>
    </from>
    <to>
      <col>5</col>
      <colOff>107198</colOff>
      <row>9</row>
      <rowOff>44825</rowOff>
    </to>
    <pic>
      <nvPicPr>
        <cNvPr id="3" name="Grafik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728882" y="0"/>
          <a:ext cx="2269934" cy="1815354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le4" displayName="Tabelle4" ref="A30:E42" headerRowCount="1" totalsRowShown="0" headerRowDxfId="6" dataDxfId="4" headerRowBorderDxfId="5">
  <autoFilter ref="A30:E4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Pos." dataDxfId="3"/>
    <tableColumn id="2" name="Bezeichnung" dataDxfId="2"/>
    <tableColumn id="3" name="Menge" dataDxfId="1"/>
    <tableColumn id="5" name="Einzelpreis"/>
    <tableColumn id="4" name="Gesamtprei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tabSelected="1" view="pageLayout" zoomScale="85" zoomScaleNormal="125" zoomScalePageLayoutView="85" workbookViewId="0">
      <selection activeCell="E31" sqref="E31"/>
    </sheetView>
  </sheetViews>
  <sheetFormatPr baseColWidth="10" defaultColWidth="11.42578125" defaultRowHeight="15"/>
  <cols>
    <col width="5.42578125" customWidth="1" min="1" max="1"/>
    <col width="41.42578125" customWidth="1" min="2" max="2"/>
    <col width="12.7109375" customWidth="1" min="3" max="4"/>
    <col width="23.7109375" customWidth="1" min="5" max="5"/>
  </cols>
  <sheetData>
    <row r="1" ht="21.75" customHeight="1"/>
    <row r="2" ht="21" customHeight="1">
      <c r="A2" s="52" t="n"/>
      <c r="D2" s="52" t="n"/>
    </row>
    <row r="3" ht="18.75" customHeight="1">
      <c r="A3" s="53" t="n"/>
      <c r="D3" s="53" t="n"/>
    </row>
    <row r="4"/>
    <row r="5" ht="9.75" customHeight="1">
      <c r="A5" s="56" t="inlineStr">
        <is>
          <t xml:space="preserve">Aust Umzüge &amp; Haushaltssauflösungen  </t>
        </is>
      </c>
    </row>
    <row r="6" ht="10.5" customHeight="1">
      <c r="A6" s="56" t="inlineStr">
        <is>
          <t>Ehrlicherstr. 38  31135 Hildesheim</t>
        </is>
      </c>
    </row>
    <row r="7" ht="10.5" customHeight="1">
      <c r="A7" s="56" t="n"/>
      <c r="B7" s="56" t="n"/>
    </row>
    <row r="8" ht="15.75" customHeight="1">
      <c r="A8" s="13" t="inlineStr">
        <is>
          <t>Blankenstein Logistik GmbH</t>
        </is>
      </c>
      <c r="B8" s="18" t="n"/>
    </row>
    <row r="9" ht="15.75" customHeight="1">
      <c r="A9" t="inlineStr">
        <is>
          <t>Martin Blankenstein</t>
        </is>
      </c>
      <c r="E9" s="7" t="inlineStr">
        <is>
          <t>info@aust-umzuege.de</t>
        </is>
      </c>
    </row>
    <row r="10" ht="15.75" customHeight="1">
      <c r="A10" t="inlineStr">
        <is>
          <t>Ruscheplatenstr. 14</t>
        </is>
      </c>
      <c r="B10" s="29" t="n"/>
      <c r="E10" s="7" t="inlineStr">
        <is>
          <t>www.aust-umzuege.de</t>
        </is>
      </c>
    </row>
    <row r="11" ht="15.75" customHeight="1">
      <c r="A11" t="inlineStr">
        <is>
          <t>31137 Hildesheim</t>
        </is>
      </c>
      <c r="E11" s="29" t="n"/>
    </row>
    <row r="12" ht="15.75" customHeight="1">
      <c r="A12" s="13" t="n"/>
      <c r="E12" s="29" t="n"/>
    </row>
    <row r="13"/>
    <row r="14">
      <c r="E14" s="24" t="n"/>
    </row>
    <row r="15" ht="15.75" customHeight="1">
      <c r="E15" s="7" t="n"/>
    </row>
    <row r="16" ht="15.75" customHeight="1">
      <c r="E16" s="7" t="n"/>
    </row>
    <row r="17"/>
    <row r="18" ht="15.75" customHeight="1">
      <c r="C18" s="5" t="inlineStr">
        <is>
          <t>Leistungsdatum</t>
        </is>
      </c>
      <c r="D18" s="5" t="n"/>
      <c r="E18" s="6" t="inlineStr">
        <is>
          <t>Datum</t>
        </is>
      </c>
    </row>
    <row r="19" ht="15.75" customHeight="1">
      <c r="C19" s="22" t="n">
        <v>46082</v>
      </c>
      <c r="D19" s="22" t="n"/>
      <c r="E19" s="22">
        <f>TODAY()</f>
        <v/>
      </c>
    </row>
    <row r="20" ht="11.1" customHeight="1">
      <c r="C20" s="1" t="n"/>
      <c r="D20" s="1" t="n"/>
      <c r="E20" s="1" t="n"/>
    </row>
    <row r="21" ht="3.95" customHeight="1"/>
    <row r="22" ht="23.25" customHeight="1">
      <c r="A22" s="54" t="inlineStr">
        <is>
          <t>Rechnung Nr.112026</t>
        </is>
      </c>
      <c r="D22" s="54" t="n"/>
    </row>
    <row r="23" ht="15" customHeight="1">
      <c r="A23" s="4" t="n"/>
      <c r="B23" s="2" t="n"/>
    </row>
    <row r="24" ht="18" customHeight="1">
      <c r="A24" s="55" t="inlineStr">
        <is>
          <t>Sehr geehrte Damen und Herren,</t>
        </is>
      </c>
      <c r="C24" s="29" t="n"/>
      <c r="D24" s="29" t="n"/>
      <c r="E24" s="29" t="n"/>
    </row>
    <row r="25" ht="7.5" customHeight="1">
      <c r="A25" s="29" t="n"/>
      <c r="B25" s="29" t="n"/>
      <c r="C25" s="29" t="n"/>
      <c r="D25" s="29" t="n"/>
      <c r="E25" s="29" t="n"/>
    </row>
    <row r="26" ht="25.5" customHeight="1">
      <c r="A26" s="58" t="inlineStr">
        <is>
          <t xml:space="preserve">wir bedanken uns für Ihr Vertrauen und stellen Ihnen verinbarungsgemäß folgendes in Rechnung. </t>
        </is>
      </c>
    </row>
    <row r="27" ht="21" customHeight="1">
      <c r="A27" s="58" t="inlineStr">
        <is>
          <t>Auftragsort:  Ruschenplatestr. 14,31137 Hildesheim</t>
        </is>
      </c>
    </row>
    <row r="28" ht="15.75" customHeight="1"/>
    <row r="29"/>
    <row r="30" ht="20.25" customHeight="1">
      <c r="A30" s="19" t="inlineStr">
        <is>
          <t>Pos.</t>
        </is>
      </c>
      <c r="B30" s="19" t="inlineStr">
        <is>
          <t>Bezeichnung</t>
        </is>
      </c>
      <c r="C30" s="19" t="inlineStr">
        <is>
          <t>Menge</t>
        </is>
      </c>
      <c r="D30" s="19" t="inlineStr">
        <is>
          <t>Einzelpreis</t>
        </is>
      </c>
      <c r="E30" s="20" t="inlineStr">
        <is>
          <t>Gesamtpreis</t>
        </is>
      </c>
    </row>
    <row r="31" ht="15.75" customHeight="1">
      <c r="A31" s="30" t="inlineStr">
        <is>
          <t>1.</t>
        </is>
      </c>
      <c r="B31" s="23" t="n"/>
      <c r="C31" s="31" t="n"/>
      <c r="D31" s="59" t="n"/>
      <c r="E31" s="60">
        <f>D31*C31</f>
        <v/>
      </c>
    </row>
    <row r="32" ht="15.75" customHeight="1">
      <c r="A32" s="34" t="inlineStr">
        <is>
          <t>2.</t>
        </is>
      </c>
      <c r="B32" s="35" t="n"/>
      <c r="C32" s="61" t="n"/>
      <c r="D32" s="62" t="n"/>
      <c r="E32" s="63">
        <f>D32*C32</f>
        <v/>
      </c>
    </row>
    <row r="33" ht="15.75" customHeight="1">
      <c r="A33" s="30" t="inlineStr">
        <is>
          <t>3.</t>
        </is>
      </c>
      <c r="B33" s="23" t="n"/>
      <c r="C33" s="31" t="n"/>
      <c r="D33" s="59" t="n"/>
      <c r="E33" s="60">
        <f>D33*C33</f>
        <v/>
      </c>
    </row>
    <row r="34" ht="15.75" customHeight="1">
      <c r="A34" s="39" t="inlineStr">
        <is>
          <t>4.</t>
        </is>
      </c>
      <c r="B34" s="40" t="n"/>
      <c r="C34" s="64" t="n"/>
      <c r="D34" s="65" t="n"/>
      <c r="E34" s="66">
        <f>D34*C34</f>
        <v/>
      </c>
    </row>
    <row r="35" ht="15.75" customHeight="1">
      <c r="A35" s="30" t="inlineStr">
        <is>
          <t>5.</t>
        </is>
      </c>
      <c r="B35" s="23" t="n"/>
      <c r="C35" s="31" t="n"/>
      <c r="D35" s="59" t="n"/>
      <c r="E35" s="60">
        <f>D35*C35</f>
        <v/>
      </c>
    </row>
    <row r="36" ht="15.75" customHeight="1">
      <c r="A36" s="39" t="inlineStr">
        <is>
          <t>6.</t>
        </is>
      </c>
      <c r="B36" s="40" t="n"/>
      <c r="C36" s="64" t="n"/>
      <c r="D36" s="65" t="n"/>
      <c r="E36" s="66">
        <f>D36*C36</f>
        <v/>
      </c>
    </row>
    <row r="37" ht="15.75" customHeight="1">
      <c r="A37" s="30" t="inlineStr">
        <is>
          <t>7.</t>
        </is>
      </c>
      <c r="B37" s="23" t="n"/>
      <c r="C37" s="31" t="n"/>
      <c r="D37" s="59" t="n"/>
      <c r="E37" s="60">
        <f>D37*C37</f>
        <v/>
      </c>
    </row>
    <row r="38" ht="21.75" customHeight="1">
      <c r="A38" s="39" t="inlineStr">
        <is>
          <t>8.</t>
        </is>
      </c>
      <c r="B38" s="40" t="n"/>
      <c r="C38" s="64" t="n"/>
      <c r="D38" s="65" t="n"/>
      <c r="E38" s="67">
        <f>D38*C38</f>
        <v/>
      </c>
    </row>
    <row r="39" ht="21.75" customHeight="1">
      <c r="A39" s="39" t="inlineStr">
        <is>
          <t>9.</t>
        </is>
      </c>
      <c r="B39" s="40" t="n"/>
      <c r="C39" s="64" t="n"/>
      <c r="D39" s="65" t="n"/>
      <c r="E39" s="67">
        <f>D39*C39</f>
        <v/>
      </c>
    </row>
    <row r="40" ht="9" customHeight="1">
      <c r="A40" s="39" t="inlineStr">
        <is>
          <t>10.</t>
        </is>
      </c>
      <c r="B40" s="40" t="n"/>
      <c r="C40" s="64" t="n"/>
      <c r="D40" s="65" t="n"/>
      <c r="E40" s="67">
        <f>D40*C40</f>
        <v/>
      </c>
    </row>
    <row r="41" ht="21.75" customHeight="1">
      <c r="A41" s="39" t="inlineStr">
        <is>
          <t>11.</t>
        </is>
      </c>
      <c r="B41" s="40" t="n"/>
      <c r="C41" s="64" t="n"/>
      <c r="D41" s="65" t="n"/>
      <c r="E41" s="67">
        <f>D41*C41</f>
        <v/>
      </c>
    </row>
    <row r="42" ht="15.75" customHeight="1">
      <c r="A42" s="39" t="inlineStr">
        <is>
          <t>12.</t>
        </is>
      </c>
      <c r="B42" s="40" t="n"/>
      <c r="C42" s="64" t="n"/>
      <c r="D42" s="65" t="n"/>
      <c r="E42" s="67">
        <f>D42*C42</f>
        <v/>
      </c>
    </row>
    <row r="43" ht="15.75" customHeight="1">
      <c r="A43" s="34" t="inlineStr">
        <is>
          <t>13.</t>
        </is>
      </c>
      <c r="B43" s="35" t="n"/>
      <c r="C43" s="61" t="n"/>
      <c r="D43" s="62" t="n"/>
      <c r="E43" s="68">
        <f>D43*C43</f>
        <v/>
      </c>
    </row>
    <row r="44">
      <c r="A44" s="34" t="inlineStr">
        <is>
          <t>14.</t>
        </is>
      </c>
      <c r="B44" s="35" t="n"/>
      <c r="C44" s="61" t="n"/>
      <c r="D44" s="62" t="n"/>
      <c r="E44" s="68">
        <f>D44*C44</f>
        <v/>
      </c>
    </row>
    <row r="45" ht="32.1" customHeight="1">
      <c r="A45" s="34" t="inlineStr">
        <is>
          <t>15.</t>
        </is>
      </c>
      <c r="B45" s="35" t="n"/>
      <c r="C45" s="61" t="n"/>
      <c r="D45" s="62" t="n"/>
      <c r="E45" s="68">
        <f>D45*C45</f>
        <v/>
      </c>
    </row>
    <row r="46" ht="15.75" customHeight="1">
      <c r="A46" s="34" t="inlineStr">
        <is>
          <t>16.</t>
        </is>
      </c>
      <c r="B46" s="35" t="n"/>
      <c r="C46" s="61" t="n"/>
      <c r="D46" s="62" t="n"/>
      <c r="E46" s="68">
        <f>D46*C46</f>
        <v/>
      </c>
    </row>
    <row r="47" ht="15.75" customHeight="1">
      <c r="A47" s="49" t="n"/>
      <c r="C47" s="69" t="inlineStr">
        <is>
          <t>Nettosumme</t>
        </is>
      </c>
      <c r="D47" s="29" t="n"/>
      <c r="E47" s="70">
        <f>SUM(E31:E46)</f>
        <v/>
      </c>
    </row>
    <row r="48" ht="6" customHeight="1">
      <c r="A48" s="3" t="n"/>
      <c r="C48" s="71" t="inlineStr">
        <is>
          <t>zzgl. 19%MwSt.</t>
        </is>
      </c>
      <c r="E48" s="72">
        <f>E47*19%</f>
        <v/>
      </c>
    </row>
    <row r="49" ht="33" customHeight="1">
      <c r="A49" s="50" t="n"/>
    </row>
    <row r="50">
      <c r="C50" s="5" t="inlineStr">
        <is>
          <t>Rechnungsbetrag</t>
        </is>
      </c>
      <c r="E50" s="73">
        <f>E47+E48</f>
        <v/>
      </c>
    </row>
    <row r="51"/>
    <row r="52"/>
    <row r="53">
      <c r="A53" s="57" t="inlineStr">
        <is>
          <t>Bitte überweisen Sie den Rechnungsbetrag innerhalb von 7 Tagen unter Angabe der Rechnungsnummer auf das unten genannte Konto.</t>
        </is>
      </c>
    </row>
    <row r="54"/>
    <row r="55"/>
    <row r="56">
      <c r="A56" s="49" t="inlineStr">
        <is>
          <t xml:space="preserve">Mit freundlichen Grüßen </t>
        </is>
      </c>
    </row>
    <row r="57"/>
    <row r="58">
      <c r="A58" s="50" t="inlineStr">
        <is>
          <t xml:space="preserve">Aust Umzüge &amp; Haushaltsauflösungen </t>
        </is>
      </c>
    </row>
    <row r="59"/>
  </sheetData>
  <mergeCells count="11">
    <mergeCell ref="A27:E28"/>
    <mergeCell ref="A24:B24"/>
    <mergeCell ref="A26:E26"/>
    <mergeCell ref="A58:B58"/>
    <mergeCell ref="A22:C22"/>
    <mergeCell ref="A5:B5"/>
    <mergeCell ref="A3:C3"/>
    <mergeCell ref="A53:E54"/>
    <mergeCell ref="A56:B56"/>
    <mergeCell ref="A6:B6"/>
    <mergeCell ref="A2:C2"/>
  </mergeCells>
  <pageMargins left="1" right="1" top="1" bottom="1" header="0.5" footer="0.5"/>
  <pageSetup orientation="portrait" paperSize="9" scale="74"/>
  <headerFooter scaleWithDoc="0" alignWithMargins="0">
    <oddHeader/>
    <oddFooter>&amp;L&amp;8 Aust Umzüge &amp; Haushaltsauflösungen_x000a_Kaiserstr. 32_x000a_31134  Hildesheim &amp;C&amp;8 Sparkasse Hildesheim Goslar Peine_x000a_ IBAN: DE67259501300057453749 _x000a_BIC: NOLADE21HIK &amp;R&amp;8 St.Nr.: 30/101/22146 _x000a_USt-IdNr.: DE330779170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Windows7</dc:creator>
  <dcterms:created xsi:type="dcterms:W3CDTF">2022-12-28T15:38:18Z</dcterms:created>
  <dcterms:modified xsi:type="dcterms:W3CDTF">2026-04-13T05:17:15Z</dcterms:modified>
  <cp:lastModifiedBy>Alex Aust</cp:lastModifiedBy>
</cp:coreProperties>
</file>