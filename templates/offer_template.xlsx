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<sst xmlns="http://schemas.openxmlformats.org/spreadsheetml/2006/main" count="56" uniqueCount="52">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</sst>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  <numFmt numFmtId="172" formatCode="#,##0.00&quot; €/Stunde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  <font>
      <u val="single"/>
      <sz val="11"/>
      <color theme="1"/>
      <name val="Calibri"/>
      <family val="0"/>
    </font>
    <font>
      <sz val="14"/>
      <color rgb="FF000000"/>
      <name val="Times New Roman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4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26" fillId="2" borderId="5" xfId="0" applyFont="true" applyFill="true" applyBorder="true" applyAlignment="true">
      <alignment horizontal="left" vertical="center" wrapText="true"/>
    </xf>
    <xf numFmtId="0" fontId="26" fillId="2" borderId="5" xfId="0" applyFont="true" applyFill="true" applyBorder="true" applyAlignment="true">
      <alignment horizontal="center" vertical="center" wrapText="true"/>
    </xf>
    <xf numFmtId="0" fontId="0" fillId="3" borderId="5" xfId="0" applyFill="true" applyBorder="true" applyAlignment="true">
      <alignment horizontal="center" vertical="center"/>
    </xf>
    <xf numFmtId="0" fontId="0" fillId="4" borderId="5" xfId="0" applyFill="true" applyBorder="true" applyAlignment="true">
      <alignment horizontal="center" vertical="center"/>
    </xf>
    <xf numFmtId="171" fontId="0" fillId="3" borderId="0" xfId="0" applyNumberFormat="true" applyFill="true" applyBorder="true" applyAlignment="true">
      <alignment horizontal="right" vertical="center"/>
    </xf>
    <xf numFmtId="171" fontId="0" fillId="4" borderId="0" xfId="0" applyNumberFormat="true" applyFill="true" applyBorder="true" applyAlignment="true">
      <alignment horizontal="right" vertical="center"/>
    </xf>
    <xf numFmtId="172" fontId="0" fillId="3" borderId="0" xfId="0" applyNumberFormat="true" applyFill="true" applyBorder="true" applyAlignment="true">
      <alignment horizontal="center" vertical="center"/>
    </xf>
    <xf numFmtId="172" fontId="0" fillId="4" borderId="0" xfId="0" applyNumberFormat="true" applyFill="true" applyBorder="true" applyAlignment="true">
      <alignment horizontal="center" vertical="center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797040</xdr:colOff>
      <xdr:row>8</xdr:row>
      <xdr:rowOff>79560</xdr:rowOff>
    </xdr:from>
    <xdr:to>
      <xdr:col>7</xdr:col>
      <xdr:colOff>704160</xdr:colOff>
      <xdr:row>13</xdr:row>
      <xdr:rowOff>185040</xdr:rowOff>
    </xdr:to>
    <xdr:sp>
      <xdr:nvSpPr>
        <xdr:cNvPr id="1" name="Textfeld 6"/>
        <xdr:cNvSpPr/>
      </xdr:nvSpPr>
      <xdr:spPr>
        <a:xfrm>
          <a:off x="5562720" y="1796760"/>
          <a:ext cx="2215800" cy="1057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146160</xdr:rowOff>
    </xdr:from>
    <xdr:to>
      <xdr:col>6</xdr:col>
      <xdr:colOff>14760</xdr:colOff>
      <xdr:row>117</xdr:row>
      <xdr:rowOff>44640</xdr:rowOff>
    </xdr:to>
    <xdr:sp>
      <xdr:nvSpPr>
        <xdr:cNvPr id="2" name="Textfeld 9"/>
        <xdr:cNvSpPr/>
      </xdr:nvSpPr>
      <xdr:spPr>
        <a:xfrm>
          <a:off x="95400" y="13700160"/>
          <a:ext cx="5713560" cy="904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werden Vorzeitig Geliefert und Werden nach dem Umzug mit 2€ Je Woche berechnet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                                   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___________________________________________________________________________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            _____________________________________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434880</xdr:colOff>
      <xdr:row>1</xdr:row>
      <xdr:rowOff>95400</xdr:rowOff>
    </xdr:from>
    <xdr:to>
      <xdr:col>7</xdr:col>
      <xdr:colOff>545400</xdr:colOff>
      <xdr:row>9</xdr:row>
      <xdr:rowOff>38520</xdr:rowOff>
    </xdr:to>
    <xdr:pic>
      <xdr:nvPicPr>
        <xdr:cNvPr id="3" name="Grafik 2"/>
        <xdr:cNvPicPr/>
      </xdr:nvPicPr>
      <xdr:blipFill>
        <a:blip r:embed="rId1"/>
        <a:stretch/>
      </xdr:blipFill>
      <xdr:spPr>
        <a:xfrm>
          <a:off x="5200560" y="371520"/>
          <a:ext cx="2419200" cy="1574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5.71"/>
    <col collapsed="false" customWidth="true" hidden="false" outlineLevel="0" max="3" min="3" style="1" width="27.72"/>
    <col collapsed="false" customWidth="true" hidden="true" outlineLevel="0" max="4" min="4" style="1" width="53"/>
    <col collapsed="false" customWidth="true" hidden="false" outlineLevel="0" max="5" min="5" style="1" width="7.28"/>
    <col collapsed="false" customWidth="true" hidden="false" outlineLevel="0" max="6" min="6" style="1" width="12.86"/>
    <col collapsed="false" customWidth="true" hidden="false" outlineLevel="0" max="7" min="7" style="1" width="16"/>
    <col collapsed="false" customWidth="true" hidden="false" outlineLevel="0" max="9" min="9" style="1" width="20"/>
    <col collapsed="false" customWidth="true" hidden="false" outlineLevel="0" max="11" min="11" style="1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2"/>
      <c r="B2" s="2"/>
      <c r="C2" s="2"/>
      <c r="D2" s="2"/>
      <c r="E2" s="2"/>
      <c r="F2" s="3"/>
    </row>
    <row r="3" customFormat="false" ht="17.35" hidden="false" customHeight="false" outlineLevel="0" collapsed="false">
      <c r="A3" s="4"/>
      <c r="B3" s="4"/>
      <c r="C3" s="4"/>
      <c r="D3" s="4"/>
      <c r="E3" s="4"/>
      <c r="F3" s="5"/>
      <c r="J3" s="1" t="str">
        <f aca="false">A16</f>
        <v>Unverbindlicher Kostenvoranschlag 2026-132</v>
      </c>
    </row>
    <row r="4" customFormat="false" ht="15" hidden="false" customHeight="false" outlineLevel="0" collapsed="false">
      <c r="I4" s="1" t="str">
        <f aca="false">A8</f>
        <v>Herrn</v>
      </c>
    </row>
    <row r="5" customFormat="false" ht="16.4" hidden="false" customHeight="false" outlineLevel="0" collapsed="false">
      <c r="A5" s="6" t="s">
        <v>0</v>
      </c>
      <c r="B5" s="6"/>
      <c r="I5" s="1" t="str">
        <f aca="false">A9</f>
        <v>Horst Lindenthal</v>
      </c>
      <c r="K5" s="1" t="str">
        <f aca="false">F18</f>
        <v>delphinchris007@web.de</v>
      </c>
    </row>
    <row r="6" customFormat="false" ht="15" hidden="false" customHeight="false" outlineLevel="0" collapsed="false">
      <c r="A6" s="6" t="s">
        <v>1</v>
      </c>
      <c r="B6" s="6"/>
      <c r="I6" s="1" t="str">
        <f aca="false">A17</f>
        <v>Auftragsdatum: </v>
      </c>
      <c r="J6" s="7" t="str">
        <f aca="false">B17</f>
        <v>KW 13-14</v>
      </c>
    </row>
    <row r="7" customFormat="false" ht="15" hidden="false" customHeight="false" outlineLevel="0" collapsed="false">
      <c r="I7" s="8" t="str">
        <f aca="false">A18</f>
        <v>Kundentelefonnr.: </v>
      </c>
      <c r="J7" s="9" t="str">
        <f aca="false">B18</f>
        <v>01746555333</v>
      </c>
    </row>
    <row r="8" customFormat="false" ht="15" hidden="false" customHeight="false" outlineLevel="0" collapsed="false">
      <c r="A8" s="1" t="s">
        <v>2</v>
      </c>
    </row>
    <row r="9" customFormat="false" ht="15" hidden="false" customHeight="false" outlineLevel="0" collapsed="false">
      <c r="A9" s="1" t="s">
        <v>3</v>
      </c>
      <c r="I9" s="1" t="str">
        <f aca="false">A25</f>
        <v>Beladestelle:</v>
      </c>
      <c r="L9" s="1" t="str">
        <f aca="false">F25</f>
        <v>Entladestelle:</v>
      </c>
    </row>
    <row r="10" customFormat="false" ht="15" hidden="false" customHeight="false" outlineLevel="0" collapsed="false">
      <c r="A10" s="8" t="s">
        <v>4</v>
      </c>
      <c r="B10" s="8"/>
      <c r="I10" s="1" t="str">
        <f aca="false">A26</f>
        <v>Schlickumerstr. 15A</v>
      </c>
      <c r="L10" s="1" t="str">
        <f aca="false">F26</f>
        <v>Weinhagenstr. 9</v>
      </c>
    </row>
    <row r="11" customFormat="false" ht="15" hidden="false" customHeight="false" outlineLevel="0" collapsed="false">
      <c r="A11" s="8" t="s">
        <v>5</v>
      </c>
      <c r="B11" s="8"/>
      <c r="I11" s="1" t="str">
        <f aca="false">A27</f>
        <v>31157 Sarstedt</v>
      </c>
      <c r="L11" s="10" t="str">
        <f aca="false">F27</f>
        <v>31135 Hildesheim</v>
      </c>
    </row>
    <row r="12" customFormat="false" ht="15" hidden="false" customHeight="false" outlineLevel="0" collapsed="false">
      <c r="I12" s="1" t="str">
        <f aca="false">A28</f>
        <v>2OG mit Fahrstuhl</v>
      </c>
      <c r="L12" s="1" t="str">
        <f aca="false">F28</f>
        <v>1 OG </v>
      </c>
    </row>
    <row r="14" customFormat="false" ht="15" hidden="false" customHeight="false" outlineLevel="0" collapsed="false">
      <c r="G14" s="11" t="n">
        <f aca="true">(TODAY())</f>
        <v>46078</v>
      </c>
      <c r="I14" s="1" t="str">
        <f aca="false">A29</f>
        <v>Umzugspauschale 15 m³</v>
      </c>
    </row>
    <row r="15" customFormat="false" ht="15" hidden="false" customHeight="false" outlineLevel="0" collapsed="false">
      <c r="I15" s="12" t="s">
        <v>6</v>
      </c>
      <c r="J15" s="12"/>
      <c r="K15" s="12" t="s">
        <v>7</v>
      </c>
      <c r="L15" s="13"/>
      <c r="M15" s="14" t="s">
        <v>8</v>
      </c>
    </row>
    <row r="16" customFormat="false" ht="21" hidden="false" customHeight="true" outlineLevel="0" collapsed="false">
      <c r="A16" s="15" t="s">
        <v>9</v>
      </c>
      <c r="B16" s="15"/>
      <c r="C16" s="15"/>
      <c r="D16" s="15"/>
      <c r="E16" s="15"/>
      <c r="F16" s="16"/>
      <c r="G16" s="16"/>
      <c r="I16" s="17" t="str">
        <f aca="false">A31</f>
        <v>De/Montage</v>
      </c>
      <c r="J16" s="17"/>
      <c r="K16" s="18" t="n">
        <f aca="false">C31</f>
        <v>0</v>
      </c>
      <c r="L16" s="19"/>
      <c r="M16" s="19" t="n">
        <f aca="false">E31</f>
        <v>0</v>
      </c>
    </row>
    <row r="17" customFormat="false" ht="15" hidden="false" customHeight="false" outlineLevel="0" collapsed="false">
      <c r="A17" s="1" t="s">
        <v>10</v>
      </c>
      <c r="B17" s="20" t="s">
        <v>11</v>
      </c>
      <c r="C17" s="20"/>
      <c r="I17" s="21" t="str">
        <f aca="false">A32</f>
        <v>Halteverbotszone</v>
      </c>
      <c r="J17" s="21"/>
      <c r="K17" s="22" t="str">
        <f aca="false">C32</f>
        <v> Entladestelle</v>
      </c>
      <c r="L17" s="23"/>
      <c r="M17" s="23" t="n">
        <f aca="false">E32</f>
        <v>0</v>
      </c>
    </row>
    <row r="18" customFormat="false" ht="15" hidden="false" customHeight="true" outlineLevel="0" collapsed="false">
      <c r="A18" s="1" t="s">
        <v>12</v>
      </c>
      <c r="B18" s="24" t="s">
        <v>13</v>
      </c>
      <c r="C18" s="9"/>
      <c r="E18" s="25" t="s">
        <v>14</v>
      </c>
      <c r="F18" s="26" t="s">
        <v>15</v>
      </c>
      <c r="G18" s="27"/>
      <c r="H18" s="28"/>
      <c r="I18" s="17" t="str">
        <f aca="false">A33</f>
        <v>Umzugsmaterial</v>
      </c>
      <c r="J18" s="17"/>
      <c r="K18" s="18" t="str">
        <f aca="false">C33</f>
        <v>Stretchfolie,Decken,Gurte</v>
      </c>
      <c r="L18" s="19"/>
      <c r="M18" s="19" t="n">
        <f aca="false">E33</f>
        <v>1</v>
      </c>
    </row>
    <row r="19" customFormat="false" ht="15" hidden="false" customHeight="false" outlineLevel="0" collapsed="false">
      <c r="B19" s="29"/>
      <c r="C19" s="9"/>
      <c r="E19" s="27"/>
      <c r="F19" s="27"/>
      <c r="G19" s="27"/>
      <c r="I19" s="30" t="str">
        <f aca="false">A34</f>
        <v>Verkauf Seidenpapier</v>
      </c>
      <c r="J19" s="31"/>
      <c r="K19" s="22" t="str">
        <f aca="false">C34</f>
        <v>500x750 </v>
      </c>
      <c r="L19" s="23"/>
      <c r="M19" s="23" t="n">
        <f aca="false">E34</f>
        <v>0</v>
      </c>
    </row>
    <row r="20" customFormat="false" ht="13.5" hidden="false" customHeight="true" outlineLevel="0" collapsed="false">
      <c r="A20" s="32" t="s">
        <v>16</v>
      </c>
      <c r="B20" s="32"/>
      <c r="C20" s="32"/>
      <c r="G20" s="33"/>
      <c r="I20" s="17" t="str">
        <f aca="false">A35</f>
        <v>Verkauf U-Karton</v>
      </c>
      <c r="J20" s="17"/>
      <c r="K20" s="18" t="str">
        <f aca="false">C35</f>
        <v>590x318x328</v>
      </c>
      <c r="L20" s="19"/>
      <c r="M20" s="19" t="n">
        <f aca="false">E35</f>
        <v>0</v>
      </c>
    </row>
    <row r="21" customFormat="false" ht="18" hidden="false" customHeight="true" outlineLevel="0" collapsed="false">
      <c r="I21" s="21" t="str">
        <f aca="false">A37</f>
        <v>Verleih Kleiderboxen</v>
      </c>
      <c r="J21" s="21"/>
      <c r="K21" s="22" t="str">
        <f aca="false">C36</f>
        <v>400x318x328</v>
      </c>
      <c r="L21" s="23"/>
      <c r="M21" s="23" t="n">
        <f aca="false">E37</f>
        <v>0</v>
      </c>
    </row>
    <row r="22" customFormat="false" ht="15" hidden="false" customHeight="false" outlineLevel="0" collapsed="false">
      <c r="A22" s="1" t="s">
        <v>17</v>
      </c>
      <c r="I22" s="34" t="str">
        <f aca="false">A38</f>
        <v>Personal</v>
      </c>
      <c r="J22" s="34"/>
      <c r="K22" s="18"/>
      <c r="L22" s="19"/>
      <c r="M22" s="19" t="n">
        <f aca="false">E38</f>
        <v>3</v>
      </c>
    </row>
    <row r="23" customFormat="false" ht="15" hidden="false" customHeight="false" outlineLevel="0" collapsed="false">
      <c r="A23" s="1" t="s">
        <v>18</v>
      </c>
      <c r="I23" s="21" t="str">
        <f aca="false">A39</f>
        <v>3,5t Transporter m. Koffer</v>
      </c>
      <c r="J23" s="21"/>
      <c r="K23" s="22" t="n">
        <f aca="false">C39</f>
        <v>0</v>
      </c>
      <c r="L23" s="23"/>
      <c r="M23" s="23" t="n">
        <f aca="false">E39</f>
        <v>1</v>
      </c>
    </row>
    <row r="24" customFormat="false" ht="15" hidden="false" customHeight="false" outlineLevel="0" collapsed="false">
      <c r="I24" s="17" t="str">
        <f aca="false">A41</f>
        <v>Transferfahrzeug</v>
      </c>
      <c r="J24" s="17"/>
      <c r="K24" s="18" t="n">
        <f aca="false">C41</f>
        <v>0</v>
      </c>
      <c r="L24" s="19"/>
      <c r="M24" s="19" t="n">
        <f aca="false">E41</f>
        <v>0</v>
      </c>
    </row>
    <row r="25" customFormat="false" ht="16.4" hidden="false" customHeight="true" outlineLevel="0" collapsed="false">
      <c r="A25" s="35" t="s">
        <v>19</v>
      </c>
      <c r="B25" s="35"/>
      <c r="D25" s="36" t="s">
        <v>20</v>
      </c>
      <c r="F25" s="37" t="s">
        <v>20</v>
      </c>
      <c r="G25" s="37"/>
      <c r="H25" s="37"/>
      <c r="I25" s="38"/>
      <c r="J25" s="38"/>
      <c r="K25" s="22"/>
      <c r="L25" s="23"/>
      <c r="M25" s="23"/>
    </row>
    <row r="26" customFormat="false" ht="15" hidden="false" customHeight="false" outlineLevel="0" collapsed="false">
      <c r="A26" s="39" t="str">
        <f aca="false">A10</f>
        <v>Schlickumerstr. 15A</v>
      </c>
      <c r="B26" s="39"/>
      <c r="C26" s="8"/>
      <c r="D26" s="36"/>
      <c r="F26" s="40" t="s">
        <v>21</v>
      </c>
      <c r="G26" s="40"/>
    </row>
    <row r="27" customFormat="false" ht="15" hidden="false" customHeight="false" outlineLevel="0" collapsed="false">
      <c r="A27" s="39" t="str">
        <f aca="false">A11</f>
        <v>31157 Sarstedt</v>
      </c>
      <c r="B27" s="39"/>
      <c r="D27" s="36"/>
      <c r="F27" s="41" t="s">
        <v>22</v>
      </c>
      <c r="G27" s="42"/>
      <c r="H27" s="43"/>
    </row>
    <row r="28" customFormat="false" ht="16.4" hidden="false" customHeight="false" outlineLevel="0" collapsed="false">
      <c r="A28" s="44" t="s">
        <v>23</v>
      </c>
      <c r="B28" s="45"/>
      <c r="D28" s="36"/>
      <c r="F28" s="1" t="s">
        <v>24</v>
      </c>
      <c r="G28" s="46"/>
      <c r="H28" s="8"/>
      <c r="I28" s="47"/>
      <c r="J28" s="47"/>
      <c r="K28" s="47"/>
      <c r="L28" s="47"/>
      <c r="M28" s="47"/>
    </row>
    <row r="29" customFormat="false" ht="15.75" hidden="false" customHeight="true" outlineLevel="0" collapsed="false">
      <c r="A29" s="48" t="s">
        <v>25</v>
      </c>
      <c r="B29" s="48"/>
      <c r="C29" s="48"/>
      <c r="D29" s="48"/>
      <c r="E29" s="48"/>
      <c r="F29" s="48"/>
      <c r="G29" s="48"/>
      <c r="I29" s="47"/>
      <c r="J29" s="47"/>
      <c r="K29" s="47"/>
      <c r="L29" s="47"/>
      <c r="M29" s="47"/>
      <c r="N29" s="49"/>
    </row>
    <row r="30" customFormat="false" ht="15" hidden="false" customHeight="false" outlineLevel="0" collapsed="false">
      <c r="A30" s="50" t="s">
        <v>6</v>
      </c>
      <c r="B30" s="50"/>
      <c r="C30" s="51" t="s">
        <v>26</v>
      </c>
      <c r="D30" s="28"/>
      <c r="E30" s="52" t="s">
        <v>8</v>
      </c>
      <c r="F30" s="36" t="s">
        <v>27</v>
      </c>
      <c r="G30" s="52" t="s">
        <v>28</v>
      </c>
      <c r="I30" s="47"/>
      <c r="J30" s="47"/>
      <c r="K30" s="47"/>
      <c r="L30" s="47"/>
      <c r="M30" s="47"/>
      <c r="N30" s="53"/>
    </row>
    <row r="31" customFormat="false" ht="15" hidden="false" customHeight="false" outlineLevel="0" collapsed="false">
      <c r="A31" s="54" t="s">
        <v>29</v>
      </c>
      <c r="B31" s="54"/>
      <c r="C31" s="55"/>
      <c r="D31" s="56"/>
      <c r="E31" s="56" t="n">
        <v>0</v>
      </c>
      <c r="F31" s="57" t="n">
        <v>50</v>
      </c>
      <c r="G31" s="57" t="n">
        <f aca="false">IF(E31="", 0, F31*E31)</f>
        <v>0</v>
      </c>
      <c r="N31" s="58"/>
    </row>
    <row r="32" customFormat="false" ht="15" hidden="false" customHeight="false" outlineLevel="0" collapsed="false">
      <c r="A32" s="59" t="s">
        <v>30</v>
      </c>
      <c r="B32" s="59"/>
      <c r="C32" s="60" t="s">
        <v>31</v>
      </c>
      <c r="D32" s="61"/>
      <c r="E32" s="61" t="n">
        <v>0</v>
      </c>
      <c r="F32" s="62" t="n">
        <v>100</v>
      </c>
      <c r="G32" s="62" t="n">
        <f aca="false">IF(E32="", 0, F32*E32)</f>
        <v>0</v>
      </c>
      <c r="I32" s="63"/>
      <c r="J32" s="63"/>
      <c r="K32" s="63"/>
      <c r="L32" s="63"/>
      <c r="M32" s="63"/>
    </row>
    <row r="33" customFormat="false" ht="15" hidden="false" customHeight="false" outlineLevel="0" collapsed="false">
      <c r="A33" s="54" t="s">
        <v>32</v>
      </c>
      <c r="B33" s="54"/>
      <c r="C33" s="55" t="s">
        <v>33</v>
      </c>
      <c r="D33" s="56"/>
      <c r="E33" s="56" t="n">
        <v>1</v>
      </c>
      <c r="F33" s="57" t="n">
        <v>30</v>
      </c>
      <c r="G33" s="57" t="n">
        <f aca="false">IF(E33="", 0, F33*E33)</f>
        <v>30</v>
      </c>
      <c r="I33" s="63"/>
      <c r="J33" s="63"/>
      <c r="K33" s="63"/>
      <c r="L33" s="63"/>
      <c r="M33" s="63"/>
    </row>
    <row r="34" customFormat="false" ht="15" hidden="false" customHeight="false" outlineLevel="0" collapsed="false">
      <c r="A34" s="64" t="s">
        <v>34</v>
      </c>
      <c r="B34" s="64"/>
      <c r="C34" s="60" t="s">
        <v>35</v>
      </c>
      <c r="D34" s="61"/>
      <c r="E34" s="61" t="n">
        <v>0</v>
      </c>
      <c r="F34" s="62" t="n">
        <v>5</v>
      </c>
      <c r="G34" s="62" t="n">
        <f aca="false">IF(E34="", 0, F34*E34)</f>
        <v>0</v>
      </c>
      <c r="I34" s="63"/>
      <c r="J34" s="63"/>
      <c r="K34" s="63"/>
      <c r="L34" s="63"/>
      <c r="M34" s="63"/>
    </row>
    <row r="35" customFormat="false" ht="15" hidden="false" customHeight="false" outlineLevel="0" collapsed="false">
      <c r="A35" s="54" t="s">
        <v>36</v>
      </c>
      <c r="B35" s="54"/>
      <c r="C35" s="55" t="s">
        <v>37</v>
      </c>
      <c r="D35" s="56"/>
      <c r="E35" s="56" t="n">
        <v>0</v>
      </c>
      <c r="F35" s="57" t="n">
        <v>2.1</v>
      </c>
      <c r="G35" s="57" t="n">
        <f aca="false">IF(E35="", 0, F35*E35)</f>
        <v>0</v>
      </c>
      <c r="I35" s="63"/>
      <c r="J35" s="63"/>
      <c r="K35" s="63"/>
      <c r="L35" s="63"/>
      <c r="M35" s="63"/>
    </row>
    <row r="36" customFormat="false" ht="15" hidden="false" customHeight="false" outlineLevel="0" collapsed="false">
      <c r="A36" s="65" t="s">
        <v>38</v>
      </c>
      <c r="B36" s="65"/>
      <c r="C36" s="60" t="s">
        <v>39</v>
      </c>
      <c r="D36" s="61"/>
      <c r="E36" s="61" t="n">
        <v>0</v>
      </c>
      <c r="F36" s="62" t="n">
        <v>2.2</v>
      </c>
      <c r="G36" s="62" t="n">
        <f aca="false">IF(E36="", 0, F36*E36)</f>
        <v>0</v>
      </c>
      <c r="I36" s="63"/>
      <c r="J36" s="63"/>
      <c r="K36" s="63"/>
      <c r="L36" s="63"/>
      <c r="M36" s="63"/>
    </row>
    <row r="37" customFormat="false" ht="15" hidden="false" customHeight="false" outlineLevel="0" collapsed="false">
      <c r="A37" s="54" t="s">
        <v>40</v>
      </c>
      <c r="B37" s="54"/>
      <c r="C37" s="66" t="s">
        <v>41</v>
      </c>
      <c r="D37" s="56"/>
      <c r="E37" s="56" t="n">
        <v>0</v>
      </c>
      <c r="F37" s="57" t="n">
        <v>10</v>
      </c>
      <c r="G37" s="57" t="n">
        <f aca="false">IF(E37="", 0, F37*E37)</f>
        <v>0</v>
      </c>
      <c r="I37" s="63"/>
      <c r="J37" s="63"/>
      <c r="K37" s="63"/>
      <c r="L37" s="63"/>
      <c r="M37" s="63"/>
    </row>
    <row r="38" customFormat="false" ht="15" hidden="false" customHeight="false" outlineLevel="0" collapsed="false">
      <c r="A38" s="67" t="s">
        <v>42</v>
      </c>
      <c r="B38" s="67"/>
      <c r="C38" s="60"/>
      <c r="D38" s="61" t="s">
        <v>43</v>
      </c>
      <c r="E38" s="61" t="n">
        <v>3</v>
      </c>
      <c r="F38" s="62" t="n">
        <v>28</v>
      </c>
      <c r="G38" s="62" t="n">
        <f aca="false">IF(E38="", 0, F38*E38*J50)</f>
        <v>0</v>
      </c>
      <c r="I38" s="63"/>
      <c r="J38" s="63"/>
      <c r="K38" s="63"/>
      <c r="L38" s="63"/>
      <c r="M38" s="63"/>
    </row>
    <row r="39" customFormat="false" ht="15" hidden="false" customHeight="false" outlineLevel="0" collapsed="false">
      <c r="A39" s="54" t="s">
        <v>44</v>
      </c>
      <c r="B39" s="54"/>
      <c r="C39" s="55"/>
      <c r="D39" s="56"/>
      <c r="E39" s="56" t="n">
        <v>1</v>
      </c>
      <c r="F39" s="57" t="n">
        <v>60</v>
      </c>
      <c r="G39" s="57" t="n">
        <f aca="false">IF(E39="", 0, F39*E39)</f>
        <v>60</v>
      </c>
      <c r="I39" s="63"/>
      <c r="J39" s="63"/>
      <c r="K39" s="63"/>
      <c r="L39" s="63"/>
      <c r="M39" s="63"/>
      <c r="N39" s="53"/>
    </row>
    <row r="40" customFormat="false" ht="15" hidden="false" customHeight="false" outlineLevel="0" collapsed="false">
      <c r="A40" s="65" t="s">
        <v>45</v>
      </c>
      <c r="B40" s="65"/>
      <c r="C40" s="60"/>
      <c r="D40" s="61"/>
      <c r="E40" s="61" t="n">
        <v>0</v>
      </c>
      <c r="F40" s="62" t="n">
        <v>300</v>
      </c>
      <c r="G40" s="62" t="n">
        <f aca="false">IF(E40="", 0, F40*E40)</f>
        <v>0</v>
      </c>
      <c r="I40" s="63"/>
      <c r="J40" s="63"/>
      <c r="K40" s="63"/>
      <c r="L40" s="63"/>
      <c r="M40" s="63"/>
      <c r="N40" s="53"/>
    </row>
    <row r="41" customFormat="false" ht="17.25" hidden="false" customHeight="true" outlineLevel="0" collapsed="false">
      <c r="A41" s="54" t="s">
        <v>46</v>
      </c>
      <c r="B41" s="54"/>
      <c r="C41" s="55"/>
      <c r="D41" s="56" t="s">
        <v>47</v>
      </c>
      <c r="E41" s="56" t="n">
        <v>0</v>
      </c>
      <c r="F41" s="57" t="n">
        <v>45</v>
      </c>
      <c r="G41" s="57" t="n">
        <f aca="false">IF(E41="", 0, F41*E41)</f>
        <v>0</v>
      </c>
      <c r="I41" s="63"/>
      <c r="J41" s="63"/>
      <c r="K41" s="63"/>
      <c r="L41" s="63"/>
      <c r="M41" s="63"/>
      <c r="N41" s="61"/>
    </row>
    <row r="42" customFormat="false" ht="17.25" hidden="false" customHeight="true" outlineLevel="0" collapsed="false">
      <c r="A42" s="59" t="s">
        <v>48</v>
      </c>
      <c r="B42" s="59"/>
      <c r="C42" s="60"/>
      <c r="D42" s="61" t="s">
        <v>47</v>
      </c>
      <c r="E42" s="61" t="n">
        <v>1</v>
      </c>
      <c r="F42" s="62" t="n">
        <v>30</v>
      </c>
      <c r="G42" s="62" t="n">
        <f aca="false">IF(E42="", 0, F42*E42)</f>
        <v>30</v>
      </c>
    </row>
    <row r="43" customFormat="false" ht="9.75" hidden="false" customHeight="true" outlineLevel="0" collapsed="false">
      <c r="A43" s="8"/>
      <c r="B43" s="8"/>
      <c r="C43" s="68"/>
      <c r="D43" s="69"/>
      <c r="E43" s="69"/>
      <c r="F43" s="69"/>
      <c r="G43" s="69"/>
    </row>
    <row r="44" customFormat="false" ht="15.75" hidden="false" customHeight="true" outlineLevel="0" collapsed="false">
      <c r="A44" s="8"/>
      <c r="C44" s="70" t="s">
        <v>49</v>
      </c>
      <c r="D44" s="69"/>
      <c r="E44" s="71"/>
      <c r="F44" s="71"/>
      <c r="G44" s="72" t="n">
        <f aca="false">G31+G32+G33+G34+G35+G37+G38+G39+G41+G42+G40</f>
        <v>120</v>
      </c>
      <c r="J44" s="53"/>
    </row>
    <row r="45" customFormat="false" ht="15" hidden="false" customHeight="false" outlineLevel="0" collapsed="false">
      <c r="A45" s="8"/>
      <c r="C45" s="70" t="s">
        <v>50</v>
      </c>
      <c r="D45" s="69"/>
      <c r="E45" s="71"/>
      <c r="F45" s="71"/>
      <c r="G45" s="72" t="n">
        <f aca="false">G44*19%</f>
        <v>22.8</v>
      </c>
      <c r="J45" s="53"/>
      <c r="M45" s="73"/>
    </row>
    <row r="46" customFormat="false" ht="15" hidden="false" customHeight="false" outlineLevel="0" collapsed="false">
      <c r="C46" s="1" t="s">
        <v>51</v>
      </c>
      <c r="E46" s="74"/>
      <c r="F46" s="74"/>
      <c r="G46" s="75" t="n">
        <f aca="false">G44+G45</f>
        <v>142.8</v>
      </c>
      <c r="J46" s="53"/>
      <c r="M46" s="73"/>
    </row>
    <row r="47" customFormat="false" ht="15" hidden="false" customHeight="false" outlineLevel="0" collapsed="false">
      <c r="J47" s="53"/>
      <c r="M47" s="73"/>
    </row>
    <row r="48" customFormat="false" ht="15" hidden="false" customHeight="true" outlineLevel="0" collapsed="false">
      <c r="A48" s="47"/>
      <c r="B48" s="47"/>
      <c r="C48" s="47"/>
      <c r="D48" s="47"/>
      <c r="E48" s="47"/>
      <c r="F48" s="47"/>
      <c r="G48" s="47"/>
      <c r="J48" s="53"/>
      <c r="M48" s="73"/>
    </row>
    <row r="49" customFormat="false" ht="33.75" hidden="false" customHeight="true" outlineLevel="0" collapsed="false">
      <c r="A49" s="47"/>
      <c r="B49" s="47"/>
      <c r="C49" s="47"/>
      <c r="D49" s="47"/>
      <c r="E49" s="47"/>
      <c r="F49" s="47"/>
      <c r="G49" s="47"/>
      <c r="J49" s="53"/>
      <c r="M49" s="73"/>
    </row>
    <row r="50" customFormat="false" ht="15" hidden="false" customHeight="false" outlineLevel="0" collapsed="false">
      <c r="A50" s="47"/>
      <c r="B50" s="47"/>
      <c r="C50" s="47"/>
      <c r="D50" s="47"/>
      <c r="E50" s="47"/>
      <c r="F50" s="47"/>
      <c r="G50" s="47"/>
      <c r="J50" s="76"/>
      <c r="M50" s="77"/>
    </row>
    <row r="51" customFormat="false" ht="15" hidden="false" customHeight="false" outlineLevel="0" collapsed="false">
      <c r="A51" s="47"/>
      <c r="B51" s="47"/>
      <c r="C51" s="47"/>
      <c r="D51" s="47"/>
      <c r="E51" s="47"/>
      <c r="F51" s="47"/>
      <c r="G51" s="47"/>
      <c r="J51" s="53"/>
      <c r="M51" s="77"/>
    </row>
    <row r="52" customFormat="false" ht="15" hidden="false" customHeight="false" outlineLevel="0" collapsed="false">
      <c r="A52" s="47"/>
      <c r="B52" s="47"/>
      <c r="C52" s="47"/>
      <c r="D52" s="47"/>
      <c r="E52" s="47"/>
      <c r="F52" s="47"/>
      <c r="G52" s="47"/>
    </row>
    <row r="53" customFormat="false" ht="15" hidden="false" customHeight="false" outlineLevel="0" collapsed="false">
      <c r="A53" s="47"/>
      <c r="B53" s="47"/>
      <c r="C53" s="47"/>
      <c r="D53" s="47"/>
      <c r="E53" s="47"/>
      <c r="F53" s="47"/>
      <c r="G53" s="47"/>
    </row>
    <row r="54" customFormat="false" ht="2.25" hidden="false" customHeight="true" outlineLevel="0" collapsed="false">
      <c r="A54" s="47"/>
      <c r="B54" s="47"/>
      <c r="C54" s="47"/>
      <c r="D54" s="47"/>
      <c r="E54" s="47"/>
      <c r="F54" s="47"/>
      <c r="G54" s="47"/>
    </row>
    <row r="55" customFormat="false" ht="15" hidden="false" customHeight="false" outlineLevel="0" collapsed="false">
      <c r="A55" s="47"/>
      <c r="B55" s="47"/>
      <c r="C55" s="47"/>
      <c r="D55" s="47"/>
      <c r="E55" s="47"/>
      <c r="F55" s="47"/>
      <c r="G55" s="47"/>
      <c r="J55" s="78"/>
    </row>
    <row r="56" customFormat="false" ht="15" hidden="false" customHeight="false" outlineLevel="0" collapsed="false">
      <c r="A56" s="47"/>
      <c r="B56" s="47"/>
      <c r="C56" s="47"/>
      <c r="D56" s="47"/>
      <c r="E56" s="47"/>
      <c r="F56" s="47"/>
      <c r="G56" s="47"/>
    </row>
  </sheetData>
  <mergeCells count="38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1"/>
    <mergeCell ref="A33:B33"/>
    <mergeCell ref="A35:B35"/>
    <mergeCell ref="A37:B37"/>
    <mergeCell ref="A38:B38"/>
    <mergeCell ref="A39:B39"/>
    <mergeCell ref="A41:B41"/>
    <mergeCell ref="A42:B42"/>
    <mergeCell ref="A48:G49"/>
    <mergeCell ref="A50:G56"/>
    <mergeCell ref="A34:B34"/>
    <mergeCell ref="A36:B36"/>
    <mergeCell ref="A40:B40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2026-02-25T14:30:09Z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