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<sst xmlns="http://schemas.openxmlformats.org/spreadsheetml/2006/main" count="56" uniqueCount="52">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</sst>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797040</xdr:colOff>
      <xdr:row>8</xdr:row>
      <xdr:rowOff>79560</xdr:rowOff>
    </xdr:from>
    <xdr:to>
      <xdr:col>7</xdr:col>
      <xdr:colOff>704160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werden Vorzeitig Geliefert und Werden nach dem Umzug mit 2€ Je Woche berechnet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434880</xdr:colOff>
      <xdr:row>1</xdr:row>
      <xdr:rowOff>95400</xdr:rowOff>
    </xdr:from>
    <xdr:to>
      <xdr:col>7</xdr:col>
      <xdr:colOff>545400</xdr:colOff>
      <xdr:row>9</xdr:row>
      <xdr:rowOff>38520</xdr:rowOff>
    </xdr:to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419200" cy="1574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/>
      <c r="B2" s="2"/>
      <c r="C2" s="2"/>
      <c r="D2" s="2"/>
      <c r="E2" s="2"/>
      <c r="F2" s="3"/>
    </row>
    <row r="3" customFormat="false" ht="17.35" hidden="false" customHeight="false" outlineLevel="0" collapsed="false">
      <c r="A3" s="4"/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F38*E38*J50)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9.75" hidden="false" customHeight="true" outlineLevel="0" collapsed="false">
      <c r="A43" s="8"/>
      <c r="B43" s="8"/>
      <c r="C43" s="68"/>
      <c r="D43" s="69"/>
      <c r="E43" s="69"/>
      <c r="F43" s="69"/>
      <c r="G43" s="69"/>
    </row>
    <row r="44" customFormat="false" ht="15.75" hidden="false" customHeight="true" outlineLevel="0" collapsed="false">
      <c r="A44" s="8"/>
      <c r="C44" s="70" t="s">
        <v>49</v>
      </c>
      <c r="D44" s="69"/>
      <c r="E44" s="71"/>
      <c r="F44" s="71"/>
      <c r="G44" s="72" t="n">
        <f aca="false">G31+G32+G33+G34+G35+G37+G38+G39+G41+G42+G40</f>
        <v>120</v>
      </c>
      <c r="J44" s="53"/>
    </row>
    <row r="45" customFormat="false" ht="15" hidden="false" customHeight="false" outlineLevel="0" collapsed="false">
      <c r="A45" s="8"/>
      <c r="C45" s="70" t="s">
        <v>50</v>
      </c>
      <c r="D45" s="69"/>
      <c r="E45" s="71"/>
      <c r="F45" s="71"/>
      <c r="G45" s="72" t="n">
        <f aca="false">G44*19%</f>
        <v>22.8</v>
      </c>
      <c r="J45" s="53"/>
      <c r="M45" s="73"/>
    </row>
    <row r="46" customFormat="false" ht="15" hidden="false" customHeight="false" outlineLevel="0" collapsed="false">
      <c r="C46" s="1" t="s">
        <v>51</v>
      </c>
      <c r="E46" s="74"/>
      <c r="F46" s="74"/>
      <c r="G46" s="75" t="n">
        <f aca="false">G44+G45</f>
        <v>142.8</v>
      </c>
      <c r="J46" s="53"/>
      <c r="M46" s="73"/>
    </row>
    <row r="47" customFormat="false" ht="15" hidden="false" customHeight="false" outlineLevel="0" collapsed="false">
      <c r="J47" s="53"/>
      <c r="M47" s="73"/>
    </row>
    <row r="48" customFormat="false" ht="15" hidden="false" customHeight="true" outlineLevel="0" collapsed="false">
      <c r="A48" s="47"/>
      <c r="B48" s="47"/>
      <c r="C48" s="47"/>
      <c r="D48" s="47"/>
      <c r="E48" s="47"/>
      <c r="F48" s="47"/>
      <c r="G48" s="47"/>
      <c r="J48" s="53"/>
      <c r="M48" s="73"/>
    </row>
    <row r="49" customFormat="false" ht="33.75" hidden="false" customHeight="true" outlineLevel="0" collapsed="false">
      <c r="A49" s="47"/>
      <c r="B49" s="47"/>
      <c r="C49" s="47"/>
      <c r="D49" s="47"/>
      <c r="E49" s="47"/>
      <c r="F49" s="47"/>
      <c r="G49" s="47"/>
      <c r="J49" s="53"/>
      <c r="M49" s="73"/>
    </row>
    <row r="50" customFormat="false" ht="15" hidden="false" customHeight="false" outlineLevel="0" collapsed="false">
      <c r="A50" s="47"/>
      <c r="B50" s="47"/>
      <c r="C50" s="47"/>
      <c r="D50" s="47"/>
      <c r="E50" s="47"/>
      <c r="F50" s="47"/>
      <c r="G50" s="47"/>
      <c r="J50" s="76"/>
      <c r="M50" s="77"/>
    </row>
    <row r="51" customFormat="false" ht="15" hidden="false" customHeight="false" outlineLevel="0" collapsed="false">
      <c r="A51" s="47"/>
      <c r="B51" s="47"/>
      <c r="C51" s="47"/>
      <c r="D51" s="47"/>
      <c r="E51" s="47"/>
      <c r="F51" s="47"/>
      <c r="G51" s="47"/>
      <c r="J51" s="53"/>
      <c r="M51" s="77"/>
    </row>
    <row r="52" customFormat="false" ht="15" hidden="false" customHeight="false" outlineLevel="0" collapsed="false">
      <c r="A52" s="47"/>
      <c r="B52" s="47"/>
      <c r="C52" s="47"/>
      <c r="D52" s="47"/>
      <c r="E52" s="47"/>
      <c r="F52" s="47"/>
      <c r="G52" s="47"/>
    </row>
    <row r="53" customFormat="false" ht="15" hidden="false" customHeight="false" outlineLevel="0" collapsed="false">
      <c r="A53" s="47"/>
      <c r="B53" s="47"/>
      <c r="C53" s="47"/>
      <c r="D53" s="47"/>
      <c r="E53" s="47"/>
      <c r="F53" s="47"/>
      <c r="G53" s="47"/>
    </row>
    <row r="54" customFormat="false" ht="2.25" hidden="false" customHeight="true" outlineLevel="0" collapsed="false">
      <c r="A54" s="47"/>
      <c r="B54" s="47"/>
      <c r="C54" s="47"/>
      <c r="D54" s="47"/>
      <c r="E54" s="47"/>
      <c r="F54" s="47"/>
      <c r="G54" s="47"/>
    </row>
    <row r="55" customFormat="false" ht="15" hidden="false" customHeight="false" outlineLevel="0" collapsed="false">
      <c r="A55" s="47"/>
      <c r="B55" s="47"/>
      <c r="C55" s="47"/>
      <c r="D55" s="47"/>
      <c r="E55" s="47"/>
      <c r="F55" s="47"/>
      <c r="G55" s="47"/>
      <c r="J55" s="78"/>
    </row>
    <row r="56" customFormat="false" ht="15" hidden="false" customHeight="false" outlineLevel="0" collapsed="false">
      <c r="A56" s="47"/>
      <c r="B56" s="47"/>
      <c r="C56" s="47"/>
      <c r="D56" s="47"/>
      <c r="E56" s="47"/>
      <c r="F56" s="47"/>
      <c r="G56" s="47"/>
    </row>
  </sheetData>
  <mergeCells count="38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1"/>
    <mergeCell ref="A33:B33"/>
    <mergeCell ref="A35:B35"/>
    <mergeCell ref="A37:B37"/>
    <mergeCell ref="A38:B38"/>
    <mergeCell ref="A39:B39"/>
    <mergeCell ref="A41:B41"/>
    <mergeCell ref="A42:B42"/>
    <mergeCell ref="A48:G49"/>
    <mergeCell ref="A50:G56"/>
    <mergeCell ref="A34:B34"/>
    <mergeCell ref="A36:B36"/>
    <mergeCell ref="A40:B4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