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name="Tabelle1" sheetId="1" state="visible" r:id="rId1"/>
  </sheets>
  <definedNames>
    <definedName name="Firmenname">Tabelle1!$B$1</definedName>
    <definedName name="_xlnm.Print_Area" localSheetId="0">'Tabelle1'!$A$1:$H$120,'Tabelle1'!$I$1:$P$43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_-* #,##0.00\ [$€-407]_-;\-* #,##0.00\ [$€-407]_-;_-* &quot;-&quot;??\ [$€-407]_-;_-@_-"/>
    <numFmt numFmtId="165" formatCode="#,##0\ &quot;€&quot;;[Red]\-#,##0\ &quot;€&quot;"/>
    <numFmt numFmtId="166" formatCode="_-* #,##0.00\ &quot;€&quot;_-;\-* #,##0.00\ &quot;€&quot;_-;_-* &quot;-&quot;??\ &quot;€&quot;_-;_-@_-"/>
    <numFmt numFmtId="167" formatCode="[$-409]mmmm\ d\,\ yyyy;@"/>
    <numFmt numFmtId="168" formatCode="[&lt;=9999999]###\-####;\(###\)\ ###\-####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i val="1"/>
      <color theme="1"/>
      <sz val="14"/>
      <scheme val="minor"/>
    </font>
    <font>
      <name val="Calibri"/>
      <family val="2"/>
      <color rgb="FF000000"/>
      <sz val="8"/>
      <u val="single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8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3"/>
      <scheme val="minor"/>
    </font>
    <font>
      <name val="Wingdings 2"/>
      <charset val="2"/>
      <family val="1"/>
      <color theme="1"/>
      <sz val="11"/>
    </font>
    <font>
      <name val="Calibri"/>
      <family val="2"/>
      <b val="1"/>
      <color theme="1"/>
      <sz val="11"/>
      <u val="double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000000"/>
      <sz val="11"/>
    </font>
    <font>
      <name val="Calibri"/>
      <family val="2"/>
      <color rgb="FF333333"/>
      <sz val="11"/>
    </font>
    <font>
      <name val="Calibri"/>
      <family val="2"/>
      <color rgb="FF11111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66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1" fillId="0" borderId="0"/>
    <xf numFmtId="44" fontId="1" fillId="0" borderId="0"/>
    <xf numFmtId="167" fontId="3" fillId="0" borderId="0" applyAlignment="1">
      <alignment horizontal="left"/>
    </xf>
    <xf numFmtId="168" fontId="3" fillId="0" borderId="0" applyAlignment="1">
      <alignment horizontal="left" vertical="top"/>
    </xf>
    <xf numFmtId="0" fontId="3" fillId="0" borderId="0" applyAlignment="1">
      <alignment horizontal="left" vertical="top" wrapText="1"/>
    </xf>
    <xf numFmtId="0" fontId="3" fillId="0" borderId="0" applyAlignment="1">
      <alignment horizontal="right" vertical="center" indent="1"/>
    </xf>
    <xf numFmtId="0" fontId="14" fillId="0" borderId="0"/>
    <xf numFmtId="0" fontId="14" fillId="0" borderId="0"/>
  </cellStyleXfs>
  <cellXfs count="9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 vertical="center"/>
    </xf>
    <xf numFmtId="164" fontId="0" fillId="0" borderId="0" applyAlignment="1" pivotButton="0" quotePrefix="0" xfId="1">
      <alignment horizontal="center"/>
    </xf>
    <xf numFmtId="164" fontId="13" fillId="0" borderId="0" applyAlignment="1" pivotButton="0" quotePrefix="0" xfId="1">
      <alignment horizontal="center"/>
    </xf>
    <xf numFmtId="0" fontId="0" fillId="0" borderId="0" applyAlignment="1" pivotButton="0" quotePrefix="0" xfId="0">
      <alignment horizontal="left" vertical="center"/>
    </xf>
    <xf numFmtId="0" fontId="14" fillId="0" borderId="0" pivotButton="0" quotePrefix="0" xfId="6"/>
    <xf numFmtId="49" fontId="0" fillId="0" borderId="0" pivotButton="0" quotePrefix="0" xfId="0"/>
    <xf numFmtId="0" fontId="14" fillId="0" borderId="0" applyAlignment="1" pivotButton="0" quotePrefix="0" xfId="7">
      <alignment horizontal="left"/>
    </xf>
    <xf numFmtId="0" fontId="4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2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center" vertical="center"/>
    </xf>
    <xf numFmtId="0" fontId="0" fillId="2" borderId="3" applyAlignment="1" pivotButton="0" quotePrefix="0" xfId="0">
      <alignment vertical="center"/>
    </xf>
    <xf numFmtId="0" fontId="0" fillId="0" borderId="1" pivotButton="0" quotePrefix="0" xfId="0"/>
    <xf numFmtId="0" fontId="0" fillId="0" borderId="0" applyAlignment="1" pivotButton="0" quotePrefix="0" xfId="0">
      <alignment vertical="top"/>
    </xf>
    <xf numFmtId="14" fontId="0" fillId="0" borderId="0" pivotButton="0" quotePrefix="0" xfId="0"/>
    <xf numFmtId="0" fontId="1" fillId="0" borderId="0" pivotButton="0" quotePrefix="0" xfId="6"/>
    <xf numFmtId="0" fontId="0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6" applyAlignment="1" pivotButton="0" quotePrefix="0" xfId="0">
      <alignment horizontal="left" vertical="center"/>
    </xf>
    <xf numFmtId="0" fontId="0" fillId="4" borderId="5" pivotButton="0" quotePrefix="0" xfId="0"/>
    <xf numFmtId="0" fontId="2" fillId="4" borderId="4" applyAlignment="1" pivotButton="0" quotePrefix="0" xfId="0">
      <alignment horizontal="center"/>
    </xf>
    <xf numFmtId="166" fontId="0" fillId="0" borderId="0" pivotButton="0" quotePrefix="0" xfId="1"/>
    <xf numFmtId="0" fontId="2" fillId="0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left"/>
    </xf>
    <xf numFmtId="164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49" fontId="14" fillId="0" borderId="0" pivotButton="0" quotePrefix="0" xfId="6"/>
    <xf numFmtId="0" fontId="17" fillId="3" borderId="0" pivotButton="0" quotePrefix="0" xfId="0"/>
    <xf numFmtId="49" fontId="16" fillId="0" borderId="0" pivotButton="0" quotePrefix="0" xfId="0"/>
    <xf numFmtId="0" fontId="15" fillId="0" borderId="0" applyAlignment="1" pivotButton="0" quotePrefix="0" xfId="0">
      <alignment horizontal="left" vertical="top"/>
    </xf>
    <xf numFmtId="165" fontId="0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left"/>
    </xf>
    <xf numFmtId="166" fontId="0" fillId="0" borderId="0" pivotButton="0" quotePrefix="0" xfId="0"/>
    <xf numFmtId="0" fontId="9" fillId="0" borderId="0" pivotButton="0" quotePrefix="0" xfId="0"/>
    <xf numFmtId="0" fontId="0" fillId="2" borderId="7" applyAlignment="1" pivotButton="0" quotePrefix="0" xfId="0">
      <alignment vertical="center"/>
    </xf>
    <xf numFmtId="0" fontId="14" fillId="0" borderId="0" applyAlignment="1" pivotButton="0" quotePrefix="0" xfId="6">
      <alignment horizontal="left"/>
    </xf>
    <xf numFmtId="0" fontId="14" fillId="0" borderId="0" pivotButton="0" quotePrefix="0" xfId="6"/>
    <xf numFmtId="0" fontId="3" fillId="2" borderId="0" pivotButton="0" quotePrefix="0" xfId="0"/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top" wrapText="1"/>
    </xf>
    <xf numFmtId="0" fontId="0" fillId="3" borderId="3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0" fillId="2" borderId="3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3" fillId="3" borderId="3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2" fillId="4" borderId="5" applyAlignment="1" pivotButton="0" quotePrefix="0" xfId="0">
      <alignment horizontal="left" vertical="center"/>
    </xf>
    <xf numFmtId="0" fontId="2" fillId="4" borderId="4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0" fontId="11" fillId="4" borderId="2" applyAlignment="1" pivotButton="0" quotePrefix="0" xfId="0">
      <alignment horizontal="center" vertical="top" wrapText="1"/>
    </xf>
    <xf numFmtId="0" fontId="11" fillId="4" borderId="7" applyAlignment="1" pivotButton="0" quotePrefix="0" xfId="0">
      <alignment horizontal="center" vertical="top" wrapText="1"/>
    </xf>
    <xf numFmtId="0" fontId="11" fillId="4" borderId="3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2" fillId="4" borderId="1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3" pivotButton="0" quotePrefix="0" xfId="0"/>
    <xf numFmtId="0" fontId="0" fillId="0" borderId="13" pivotButton="0" quotePrefix="0" xfId="0"/>
    <xf numFmtId="0" fontId="11" fillId="4" borderId="8" applyAlignment="1" pivotButton="0" quotePrefix="0" xfId="0">
      <alignment horizontal="center" vertical="top" wrapText="1"/>
    </xf>
    <xf numFmtId="0" fontId="0" fillId="0" borderId="7" pivotButton="0" quotePrefix="0" xfId="0"/>
    <xf numFmtId="164" fontId="0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2" borderId="0" applyAlignment="1" pivotButton="0" quotePrefix="0" xfId="0">
      <alignment horizontal="center" vertical="center"/>
    </xf>
    <xf numFmtId="164" fontId="0" fillId="0" borderId="0" applyAlignment="1" pivotButton="0" quotePrefix="0" xfId="1">
      <alignment horizontal="center"/>
    </xf>
    <xf numFmtId="166" fontId="0" fillId="0" borderId="0" pivotButton="0" quotePrefix="0" xfId="1"/>
    <xf numFmtId="164" fontId="13" fillId="0" borderId="0" applyAlignment="1" pivotButton="0" quotePrefix="0" xfId="1">
      <alignment horizontal="center"/>
    </xf>
    <xf numFmtId="166" fontId="0" fillId="0" borderId="0" pivotButton="0" quotePrefix="0" xfId="0"/>
    <xf numFmtId="165" fontId="0" fillId="0" borderId="0" pivotButton="0" quotePrefix="0" xfId="0"/>
  </cellXfs>
  <cellStyles count="8">
    <cellStyle name="Standard" xfId="0" builtinId="0"/>
    <cellStyle name="Währung" xfId="1" builtinId="4"/>
    <cellStyle name="Datum" xfId="2"/>
    <cellStyle name="Telefon" xfId="3"/>
    <cellStyle name="Produktbeschreibung" xfId="4"/>
    <cellStyle name="Rechtsbündig" xfId="5"/>
    <cellStyle name="Link" xfId="6" builtinId="8"/>
    <cellStyle name="Hyperlink" xf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434973</colOff>
      <row>1</row>
      <rowOff>95250</rowOff>
    </from>
    <to>
      <col>7</col>
      <colOff>546100</colOff>
      <row>9</row>
      <rowOff>22365</rowOff>
    </to>
    <pic>
      <nvPicPr>
        <cNvPr id="3" name="Grafik 2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4968873" y="361950"/>
          <a:ext cx="2308227" cy="1578115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e-mail:ahmedalhadede2002@yahoo.com" TargetMode="External" Id="rId1" /><Relationship Type="http://schemas.openxmlformats.org/officeDocument/2006/relationships/hyperlink" Target="mailto:delphinchris007@web.de" TargetMode="External" Id="rId2" /><Relationship Type="http://schemas.openxmlformats.org/officeDocument/2006/relationships/drawing" Target="/xl/drawings/drawing1.xml" Id="rId3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O56"/>
  <sheetViews>
    <sheetView tabSelected="1" zoomScaleNormal="100" zoomScaleSheetLayoutView="110" zoomScalePageLayoutView="93" workbookViewId="0">
      <selection activeCell="C13" sqref="C13"/>
    </sheetView>
  </sheetViews>
  <sheetFormatPr baseColWidth="10" defaultColWidth="11.42578125" defaultRowHeight="15"/>
  <cols>
    <col width="18.85546875" customWidth="1" min="1" max="1"/>
    <col width="5.7109375" customWidth="1" min="2" max="2"/>
    <col width="27.7109375" customWidth="1" min="3" max="3"/>
    <col hidden="1" width="53" customWidth="1" min="4" max="4"/>
    <col width="7.28515625" customWidth="1" min="5" max="5"/>
    <col width="12.85546875" customWidth="1" min="6" max="6"/>
    <col width="16" customWidth="1" min="7" max="7"/>
    <col width="20" customWidth="1" min="9" max="9"/>
    <col width="20.42578125" customWidth="1" min="11" max="11"/>
  </cols>
  <sheetData>
    <row r="1" ht="21.75" customHeight="1"/>
    <row r="2" ht="21" customHeight="1">
      <c r="A2" s="13" t="n"/>
      <c r="B2" s="13" t="n"/>
      <c r="C2" s="13" t="n"/>
      <c r="D2" s="13" t="n"/>
      <c r="E2" s="13" t="n"/>
      <c r="F2" s="11" t="n"/>
    </row>
    <row r="3" ht="18.75" customHeight="1">
      <c r="A3" s="76" t="n"/>
      <c r="F3" s="76" t="n"/>
      <c r="J3">
        <f>A16</f>
        <v/>
      </c>
    </row>
    <row r="4">
      <c r="I4">
        <f>A8</f>
        <v/>
      </c>
    </row>
    <row r="5">
      <c r="A5" s="78" t="inlineStr">
        <is>
          <t xml:space="preserve">Aust Umzüge &amp; Haushaltsauflösungen  </t>
        </is>
      </c>
      <c r="I5">
        <f>A9</f>
        <v/>
      </c>
      <c r="K5">
        <f>F18</f>
        <v/>
      </c>
    </row>
    <row r="6">
      <c r="A6" s="78" t="inlineStr">
        <is>
          <t>Ehrlicherstr. 38  31135 Hildesheim</t>
        </is>
      </c>
      <c r="I6">
        <f>A17</f>
        <v/>
      </c>
      <c r="J6" s="24">
        <f>B17</f>
        <v/>
      </c>
    </row>
    <row r="7">
      <c r="I7" s="70">
        <f>A18</f>
        <v/>
      </c>
      <c r="J7" s="9">
        <f>B18</f>
        <v/>
      </c>
    </row>
    <row r="8">
      <c r="A8" t="inlineStr">
        <is>
          <t>Herrn</t>
        </is>
      </c>
    </row>
    <row r="9">
      <c r="A9" t="inlineStr">
        <is>
          <t>Horst Lindenthal</t>
        </is>
      </c>
      <c r="I9">
        <f>A25</f>
        <v/>
      </c>
      <c r="L9">
        <f>F25</f>
        <v/>
      </c>
    </row>
    <row r="10">
      <c r="A10" s="70" t="inlineStr">
        <is>
          <t>Schlickumerstr. 15A</t>
        </is>
      </c>
      <c r="B10" s="70" t="n"/>
      <c r="I10">
        <f>A26</f>
        <v/>
      </c>
      <c r="L10">
        <f>F26</f>
        <v/>
      </c>
    </row>
    <row r="11">
      <c r="A11" s="70" t="inlineStr">
        <is>
          <t>31157 Sarstedt</t>
        </is>
      </c>
      <c r="B11" s="70" t="n"/>
      <c r="I11">
        <f>A27</f>
        <v/>
      </c>
      <c r="L11" s="25">
        <f>F27</f>
        <v/>
      </c>
    </row>
    <row r="12">
      <c r="I12">
        <f>A28</f>
        <v/>
      </c>
      <c r="L12">
        <f>F28</f>
        <v/>
      </c>
    </row>
    <row r="14">
      <c r="G14" s="2">
        <f>(TODAY())</f>
        <v/>
      </c>
      <c r="I14">
        <f>A29</f>
        <v/>
      </c>
    </row>
    <row r="15">
      <c r="I15" s="84" t="inlineStr">
        <is>
          <t>Beschreibung</t>
        </is>
      </c>
      <c r="J15" s="85" t="n"/>
      <c r="K15" s="30" t="inlineStr">
        <is>
          <t xml:space="preserve">Sonstige </t>
        </is>
      </c>
      <c r="L15" s="31" t="n"/>
      <c r="M15" s="32" t="inlineStr">
        <is>
          <t>Menge</t>
        </is>
      </c>
    </row>
    <row r="16" ht="21" customHeight="1">
      <c r="A16" s="71" t="inlineStr">
        <is>
          <t>Unverbindlicher Kostenvoranschlag 2026-132</t>
        </is>
      </c>
      <c r="F16" s="71" t="n"/>
      <c r="G16" s="71" t="n"/>
      <c r="I16" s="62">
        <f>A31</f>
        <v/>
      </c>
      <c r="J16" s="86" t="n"/>
      <c r="K16" s="27">
        <f>C31</f>
        <v/>
      </c>
      <c r="L16" s="28" t="n"/>
      <c r="M16" s="28">
        <f>E31</f>
        <v/>
      </c>
    </row>
    <row r="17">
      <c r="A17" t="inlineStr">
        <is>
          <t xml:space="preserve">Auftragsdatum: </t>
        </is>
      </c>
      <c r="B17" s="79" t="inlineStr">
        <is>
          <t>KW 13-14</t>
        </is>
      </c>
      <c r="I17" s="64">
        <f>A32</f>
        <v/>
      </c>
      <c r="J17" s="86" t="n"/>
      <c r="K17" s="19">
        <f>C32</f>
        <v/>
      </c>
      <c r="L17" s="20" t="n"/>
      <c r="M17" s="20">
        <f>E32</f>
        <v/>
      </c>
    </row>
    <row r="18" ht="15" customHeight="1">
      <c r="A18" t="inlineStr">
        <is>
          <t xml:space="preserve">Kundentelefonnr.: </t>
        </is>
      </c>
      <c r="B18" s="45" t="inlineStr">
        <is>
          <t>01746555333</t>
        </is>
      </c>
      <c r="C18" s="9" t="n"/>
      <c r="E18" s="10" t="inlineStr">
        <is>
          <t xml:space="preserve">E-Mail: </t>
        </is>
      </c>
      <c r="F18" s="57" t="inlineStr">
        <is>
          <t>delphinchris007@web.de</t>
        </is>
      </c>
      <c r="G18" s="58" t="n"/>
      <c r="H18" s="29" t="n"/>
      <c r="I18" s="62">
        <f>A33</f>
        <v/>
      </c>
      <c r="J18" s="86" t="n"/>
      <c r="K18" s="27">
        <f>C33</f>
        <v/>
      </c>
      <c r="L18" s="28" t="n"/>
      <c r="M18" s="28">
        <f>E33</f>
        <v/>
      </c>
    </row>
    <row r="19">
      <c r="B19" s="43" t="n"/>
      <c r="C19" s="9" t="n"/>
      <c r="E19" s="58" t="n"/>
      <c r="F19" s="58" t="n"/>
      <c r="G19" s="58" t="n"/>
      <c r="I19" s="56">
        <f>A34</f>
        <v/>
      </c>
      <c r="J19" s="21" t="n"/>
      <c r="K19" s="19">
        <f>C34</f>
        <v/>
      </c>
      <c r="L19" s="20" t="n"/>
      <c r="M19" s="20">
        <f>E34</f>
        <v/>
      </c>
    </row>
    <row r="20" ht="13.5" customHeight="1">
      <c r="A20" s="70" t="inlineStr">
        <is>
          <t>Sehr geehrter Herr Krause,</t>
        </is>
      </c>
      <c r="G20" s="59" t="n"/>
      <c r="I20" s="62">
        <f>A35</f>
        <v/>
      </c>
      <c r="J20" s="86" t="n"/>
      <c r="K20" s="27">
        <f>C35</f>
        <v/>
      </c>
      <c r="L20" s="28" t="n"/>
      <c r="M20" s="28">
        <f>E35</f>
        <v/>
      </c>
    </row>
    <row r="21" ht="18" customHeight="1">
      <c r="I21" s="64">
        <f>A37</f>
        <v/>
      </c>
      <c r="J21" s="86" t="n"/>
      <c r="K21" s="19">
        <f>C36</f>
        <v/>
      </c>
      <c r="L21" s="20" t="n"/>
      <c r="M21" s="20">
        <f>E37</f>
        <v/>
      </c>
    </row>
    <row r="22">
      <c r="A22" t="inlineStr">
        <is>
          <t>vielen Dank für das Interesse an unserem Unternehmen.</t>
        </is>
      </c>
      <c r="I22" s="66">
        <f>A38</f>
        <v/>
      </c>
      <c r="J22" s="86" t="n"/>
      <c r="K22" s="27" t="n"/>
      <c r="L22" s="28" t="n"/>
      <c r="M22" s="28">
        <f>E38</f>
        <v/>
      </c>
    </row>
    <row r="23">
      <c r="A23" t="inlineStr">
        <is>
          <t>Gerne unterbreiten wir Ihnen folgendes Angebot.</t>
        </is>
      </c>
      <c r="I23" s="64">
        <f>A39</f>
        <v/>
      </c>
      <c r="J23" s="86" t="n"/>
      <c r="K23" s="19">
        <f>C39</f>
        <v/>
      </c>
      <c r="L23" s="20" t="n"/>
      <c r="M23" s="20">
        <f>E39</f>
        <v/>
      </c>
    </row>
    <row r="24">
      <c r="I24" s="62">
        <f>A41</f>
        <v/>
      </c>
      <c r="J24" s="86" t="n"/>
      <c r="K24" s="27">
        <f>C41</f>
        <v/>
      </c>
      <c r="L24" s="28" t="n"/>
      <c r="M24" s="28">
        <f>E41</f>
        <v/>
      </c>
    </row>
    <row r="25">
      <c r="A25" s="77" t="inlineStr">
        <is>
          <t>Beladestelle:</t>
        </is>
      </c>
      <c r="D25" s="3" t="inlineStr">
        <is>
          <t>Entladestelle:</t>
        </is>
      </c>
      <c r="F25" s="14" t="inlineStr">
        <is>
          <t>Entladestelle:</t>
        </is>
      </c>
      <c r="G25" s="14" t="n"/>
      <c r="H25" s="14" t="n"/>
      <c r="I25" s="65" t="n"/>
      <c r="J25" s="87" t="n"/>
      <c r="K25" s="19" t="n"/>
      <c r="L25" s="20" t="n"/>
      <c r="M25" s="20" t="n"/>
    </row>
    <row r="26">
      <c r="A26" s="70">
        <f>A10</f>
        <v/>
      </c>
      <c r="C26" s="70" t="n"/>
      <c r="D26" s="3" t="n"/>
      <c r="F26" s="75" t="inlineStr">
        <is>
          <t>Weinhagenstr. 9</t>
        </is>
      </c>
    </row>
    <row r="27">
      <c r="A27" s="70">
        <f>A11</f>
        <v/>
      </c>
      <c r="D27" s="3" t="n"/>
      <c r="F27" s="46" t="inlineStr">
        <is>
          <t>31135 Hildesheim</t>
        </is>
      </c>
      <c r="G27" s="23" t="n"/>
      <c r="H27" s="15" t="n"/>
    </row>
    <row r="28">
      <c r="A28" s="60" t="inlineStr">
        <is>
          <t>2OG mit Fahrstuhl</t>
        </is>
      </c>
      <c r="B28" s="34" t="n"/>
      <c r="D28" s="3" t="n"/>
      <c r="F28" t="inlineStr">
        <is>
          <t xml:space="preserve">1 OG </t>
        </is>
      </c>
      <c r="G28" s="75" t="n"/>
      <c r="H28" s="70" t="n"/>
      <c r="I28" s="60">
        <f>A48</f>
        <v/>
      </c>
    </row>
    <row r="29" ht="15.75" customHeight="1">
      <c r="A29" s="88" t="inlineStr">
        <is>
          <t>Umzugspauschale 15 m³</t>
        </is>
      </c>
      <c r="B29" s="89" t="n"/>
      <c r="C29" s="89" t="n"/>
      <c r="D29" s="89" t="n"/>
      <c r="E29" s="89" t="n"/>
      <c r="F29" s="89" t="n"/>
      <c r="G29" s="86" t="n"/>
      <c r="N29" s="16" t="n"/>
    </row>
    <row r="30">
      <c r="A30" s="80" t="inlineStr">
        <is>
          <t>Beschreibung</t>
        </is>
      </c>
      <c r="C30" s="80" t="inlineStr">
        <is>
          <t>Bemerkung</t>
        </is>
      </c>
      <c r="D30" s="29" t="n"/>
      <c r="E30" s="42" t="inlineStr">
        <is>
          <t>Menge</t>
        </is>
      </c>
      <c r="F30" s="3" t="inlineStr">
        <is>
          <t>Einzelpreis</t>
        </is>
      </c>
      <c r="G30" s="42" t="inlineStr">
        <is>
          <t>Gesamt Netto</t>
        </is>
      </c>
      <c r="N30" s="17" t="n"/>
    </row>
    <row r="31">
      <c r="A31" s="81" t="inlineStr">
        <is>
          <t>De/Montage</t>
        </is>
      </c>
      <c r="C31" s="35" t="n"/>
      <c r="D31" s="36" t="n"/>
      <c r="E31" s="36" t="n">
        <v>0</v>
      </c>
      <c r="F31" s="90" t="n">
        <v>50</v>
      </c>
      <c r="G31" s="90">
        <f>IF(E31="", 0, F31*E31)</f>
        <v/>
      </c>
      <c r="N31" s="91" t="n"/>
    </row>
    <row r="32">
      <c r="A32" s="82" t="inlineStr">
        <is>
          <t>Halteverbotszone</t>
        </is>
      </c>
      <c r="C32" s="38" t="inlineStr">
        <is>
          <t xml:space="preserve"> Entladestelle</t>
        </is>
      </c>
      <c r="D32" s="26" t="n"/>
      <c r="E32" s="26" t="n">
        <v>0</v>
      </c>
      <c r="F32" s="92" t="n">
        <v>100</v>
      </c>
      <c r="G32" s="92">
        <f>IF(E32="", 0, F32*E32)</f>
        <v/>
      </c>
      <c r="I32" s="61">
        <f>A50</f>
        <v/>
      </c>
    </row>
    <row r="33">
      <c r="A33" s="81" t="inlineStr">
        <is>
          <t>Umzugsmaterial</t>
        </is>
      </c>
      <c r="C33" s="35" t="inlineStr">
        <is>
          <t>Stretchfolie,Decken,Gurte</t>
        </is>
      </c>
      <c r="D33" s="36" t="n"/>
      <c r="E33" s="36" t="n">
        <v>1</v>
      </c>
      <c r="F33" s="90" t="n">
        <v>30</v>
      </c>
      <c r="G33" s="90">
        <f>IF(E33="", 0, F33*E33)</f>
        <v/>
      </c>
    </row>
    <row r="34">
      <c r="A34" s="40" t="inlineStr">
        <is>
          <t>Verkauf Seidenpapier</t>
        </is>
      </c>
      <c r="B34" s="40" t="n"/>
      <c r="C34" s="38" t="inlineStr">
        <is>
          <t xml:space="preserve">500x750 </t>
        </is>
      </c>
      <c r="D34" s="26" t="n"/>
      <c r="E34" s="26" t="n">
        <v>0</v>
      </c>
      <c r="F34" s="92" t="n">
        <v>5</v>
      </c>
      <c r="G34" s="92">
        <f>IF(E34="", 0, F34*E34)</f>
        <v/>
      </c>
    </row>
    <row r="35">
      <c r="A35" s="81" t="inlineStr">
        <is>
          <t>Verkauf U-Karton</t>
        </is>
      </c>
      <c r="C35" s="35" t="inlineStr">
        <is>
          <t>590x318x328</t>
        </is>
      </c>
      <c r="D35" s="36" t="n"/>
      <c r="E35" s="36" t="n">
        <v>0</v>
      </c>
      <c r="F35" s="90" t="n">
        <v>2.1</v>
      </c>
      <c r="G35" s="90">
        <f>IF(E35="", 0, F35*E35)</f>
        <v/>
      </c>
    </row>
    <row r="36">
      <c r="A36" s="82" t="inlineStr">
        <is>
          <t>Verkauf B-Karton</t>
        </is>
      </c>
      <c r="B36" s="82" t="n"/>
      <c r="C36" s="38" t="inlineStr">
        <is>
          <t>400x318x328</t>
        </is>
      </c>
      <c r="D36" s="26" t="n"/>
      <c r="E36" s="26" t="n">
        <v>0</v>
      </c>
      <c r="F36" s="92" t="n">
        <v>2.2</v>
      </c>
      <c r="G36" s="92">
        <f>IF(E36="", 0, F36*E36)</f>
        <v/>
      </c>
    </row>
    <row r="37">
      <c r="A37" s="81" t="inlineStr">
        <is>
          <t>Verleih Kleiderboxen</t>
        </is>
      </c>
      <c r="C37" s="44" t="inlineStr">
        <is>
          <t xml:space="preserve">610x520x1370 </t>
        </is>
      </c>
      <c r="D37" s="36" t="n"/>
      <c r="E37" s="36" t="n">
        <v>0</v>
      </c>
      <c r="F37" s="90" t="n">
        <v>10</v>
      </c>
      <c r="G37" s="90">
        <f>IF(E37="", 0, F37*E37)</f>
        <v/>
      </c>
    </row>
    <row r="38">
      <c r="A38" s="83" t="inlineStr">
        <is>
          <t>Personal</t>
        </is>
      </c>
      <c r="C38" s="38" t="n"/>
      <c r="D38" s="26" t="inlineStr">
        <is>
          <t>6 Umzugshelfer</t>
        </is>
      </c>
      <c r="E38" s="26" t="n">
        <v>3</v>
      </c>
      <c r="F38" s="92" t="n">
        <v>28</v>
      </c>
      <c r="G38" s="92">
        <f>IF(E38="", 0, F38*E38*J50)</f>
        <v/>
      </c>
    </row>
    <row r="39">
      <c r="A39" s="81" t="inlineStr">
        <is>
          <t>3,5t Transporter m. Koffer</t>
        </is>
      </c>
      <c r="C39" s="35" t="n"/>
      <c r="D39" s="36" t="n"/>
      <c r="E39" s="36" t="n">
        <v>1</v>
      </c>
      <c r="F39" s="90" t="n">
        <v>60</v>
      </c>
      <c r="G39" s="90">
        <f>IF(E39="", 0, F39*E39)</f>
        <v/>
      </c>
      <c r="N39" s="17" t="n"/>
    </row>
    <row r="40">
      <c r="A40" s="82" t="inlineStr">
        <is>
          <t>Möbellift</t>
        </is>
      </c>
      <c r="B40" s="82" t="n"/>
      <c r="C40" s="38" t="n"/>
      <c r="D40" s="26" t="n"/>
      <c r="E40" s="26" t="n">
        <v>0</v>
      </c>
      <c r="F40" s="92" t="n">
        <v>300</v>
      </c>
      <c r="G40" s="92">
        <f>IF(E40="", 0, F40*E40)</f>
        <v/>
      </c>
      <c r="N40" s="17" t="n"/>
    </row>
    <row r="41" ht="17.25" customHeight="1">
      <c r="A41" s="81" t="inlineStr">
        <is>
          <t>Transferfahrzeug</t>
        </is>
      </c>
      <c r="C41" s="35" t="n"/>
      <c r="D41" s="36" t="inlineStr">
        <is>
          <t>Nürnberger Versicherung</t>
        </is>
      </c>
      <c r="E41" s="36" t="n">
        <v>0</v>
      </c>
      <c r="F41" s="90" t="n">
        <v>45</v>
      </c>
      <c r="G41" s="90">
        <f>IF(E41="", 0, F41*E41)</f>
        <v/>
      </c>
      <c r="N41" s="26" t="n"/>
    </row>
    <row r="42" ht="17.25" customHeight="1">
      <c r="A42" s="82" t="inlineStr">
        <is>
          <t>Anfahrt/Abfahrt</t>
        </is>
      </c>
      <c r="C42" s="38" t="n"/>
      <c r="D42" s="26" t="inlineStr">
        <is>
          <t>Nürnberger Versicherung</t>
        </is>
      </c>
      <c r="E42" s="26" t="n">
        <v>1</v>
      </c>
      <c r="F42" s="92" t="n">
        <v>30</v>
      </c>
      <c r="G42" s="92">
        <f>IF(E42="", 0, F42*E42)</f>
        <v/>
      </c>
    </row>
    <row r="43" ht="9.75" customHeight="1">
      <c r="A43" s="70" t="n"/>
      <c r="B43" s="70" t="n"/>
      <c r="C43" s="41" t="n"/>
      <c r="D43" s="1" t="n"/>
      <c r="E43" s="1" t="n"/>
      <c r="F43" s="1" t="n"/>
      <c r="G43" s="1" t="n"/>
    </row>
    <row r="44" ht="15.75" customHeight="1">
      <c r="A44" s="70" t="n"/>
      <c r="C44" s="12" t="inlineStr">
        <is>
          <t>Nettobetrag</t>
        </is>
      </c>
      <c r="D44" s="1" t="n"/>
      <c r="E44" s="7" t="n"/>
      <c r="F44" s="7" t="n"/>
      <c r="G44" s="93">
        <f>G31+G32+G33+G34+G35+G37+G38+G39+G41+G42+G40</f>
        <v/>
      </c>
      <c r="J44" s="17" t="inlineStr">
        <is>
          <t>Zeit</t>
        </is>
      </c>
      <c r="K44" t="inlineStr">
        <is>
          <t>Personen</t>
        </is>
      </c>
      <c r="L44" t="inlineStr">
        <is>
          <t>€</t>
        </is>
      </c>
      <c r="O44" t="inlineStr">
        <is>
          <t>Selbstkosten</t>
        </is>
      </c>
    </row>
    <row r="45">
      <c r="A45" s="70" t="n"/>
      <c r="C45" s="12" t="inlineStr">
        <is>
          <t>Umsatzsteuer 19%</t>
        </is>
      </c>
      <c r="D45" s="1" t="n"/>
      <c r="E45" s="7" t="n"/>
      <c r="F45" s="7" t="n"/>
      <c r="G45" s="93">
        <f>G44*19%</f>
        <v/>
      </c>
      <c r="I45" t="inlineStr">
        <is>
          <t>Beladen</t>
        </is>
      </c>
      <c r="J45" s="17" t="n">
        <v>3</v>
      </c>
      <c r="K45" t="n">
        <v>5</v>
      </c>
      <c r="L45" t="n">
        <v>30</v>
      </c>
      <c r="M45" s="94">
        <f>L45*K45*J45</f>
        <v/>
      </c>
      <c r="O45">
        <f>K45*J45*17</f>
        <v/>
      </c>
    </row>
    <row r="46">
      <c r="C46" t="inlineStr">
        <is>
          <t>Bruttobetrag</t>
        </is>
      </c>
      <c r="E46" s="4" t="n"/>
      <c r="F46" s="4" t="n"/>
      <c r="G46" s="95">
        <f>G44+G45</f>
        <v/>
      </c>
      <c r="I46" t="inlineStr">
        <is>
          <t xml:space="preserve">Fahrt </t>
        </is>
      </c>
      <c r="J46" s="17" t="n">
        <v>2.5</v>
      </c>
      <c r="K46" t="n">
        <v>5</v>
      </c>
      <c r="L46" t="n">
        <v>20</v>
      </c>
      <c r="M46" s="94">
        <f>L46*K46*J46</f>
        <v/>
      </c>
      <c r="O46">
        <f>K46*J46*17</f>
        <v/>
      </c>
    </row>
    <row r="47">
      <c r="I47" t="inlineStr">
        <is>
          <t>Entladen</t>
        </is>
      </c>
      <c r="J47" s="17" t="n">
        <v>3</v>
      </c>
      <c r="K47" t="n">
        <v>5</v>
      </c>
      <c r="L47" t="n">
        <v>30</v>
      </c>
      <c r="M47" s="94">
        <f>L47*K47*J47</f>
        <v/>
      </c>
      <c r="O47">
        <f>K47*J47*17</f>
        <v/>
      </c>
    </row>
    <row r="48" ht="15" customHeight="1">
      <c r="A48" s="60" t="n"/>
      <c r="I48" t="inlineStr">
        <is>
          <t>Diesel/ KM</t>
        </is>
      </c>
      <c r="J48" s="17" t="n">
        <v>80</v>
      </c>
      <c r="K48" t="n">
        <v>0.5</v>
      </c>
      <c r="L48" t="n">
        <v>2</v>
      </c>
      <c r="M48" s="94">
        <f>J48*K48*L48</f>
        <v/>
      </c>
      <c r="O48">
        <f>J48*(0.3)*L48</f>
        <v/>
      </c>
    </row>
    <row r="49" ht="33.95" customHeight="1">
      <c r="J49" s="17" t="n"/>
      <c r="L49" t="inlineStr">
        <is>
          <t>Personal</t>
        </is>
      </c>
      <c r="M49" s="94">
        <f>M45+M46+M47</f>
        <v/>
      </c>
      <c r="O49">
        <f>O45+O46+O47</f>
        <v/>
      </c>
    </row>
    <row r="50">
      <c r="A50" s="60" t="n"/>
      <c r="J50" s="22" t="n">
        <v>6</v>
      </c>
      <c r="L50" t="inlineStr">
        <is>
          <t>inkl. Sprit</t>
        </is>
      </c>
      <c r="M50" s="96">
        <f>M48+M49</f>
        <v/>
      </c>
      <c r="O50">
        <f>O48+O49</f>
        <v/>
      </c>
    </row>
    <row r="51">
      <c r="J51" s="17" t="n"/>
      <c r="L51" t="inlineStr">
        <is>
          <t>inkl. Lift und co</t>
        </is>
      </c>
      <c r="M51" s="96">
        <f>M50+G32+G33+G39+G40+G41</f>
        <v/>
      </c>
    </row>
    <row r="52"/>
    <row r="53"/>
    <row r="54" ht="2.25" customHeight="1"/>
    <row r="55">
      <c r="J55" s="97" t="n"/>
    </row>
    <row r="56"/>
  </sheetData>
  <mergeCells count="35">
    <mergeCell ref="A30:B30"/>
    <mergeCell ref="A48:G49"/>
    <mergeCell ref="I15:J15"/>
    <mergeCell ref="A29:G29"/>
    <mergeCell ref="I32:M41"/>
    <mergeCell ref="A6:B6"/>
    <mergeCell ref="A25:B25"/>
    <mergeCell ref="I16:J16"/>
    <mergeCell ref="A41:B41"/>
    <mergeCell ref="A16:E16"/>
    <mergeCell ref="I25:J25"/>
    <mergeCell ref="A37:B37"/>
    <mergeCell ref="I22:J22"/>
    <mergeCell ref="B17:C17"/>
    <mergeCell ref="A27:B27"/>
    <mergeCell ref="F26:G26"/>
    <mergeCell ref="A20:C20"/>
    <mergeCell ref="I18:J18"/>
    <mergeCell ref="A3:E3"/>
    <mergeCell ref="I21:J21"/>
    <mergeCell ref="A26:B26"/>
    <mergeCell ref="A33:B33"/>
    <mergeCell ref="I28:M30"/>
    <mergeCell ref="I24:J24"/>
    <mergeCell ref="A42:B42"/>
    <mergeCell ref="A5:B5"/>
    <mergeCell ref="A32:B32"/>
    <mergeCell ref="I23:J23"/>
    <mergeCell ref="I17:J17"/>
    <mergeCell ref="A35:B35"/>
    <mergeCell ref="A38:B38"/>
    <mergeCell ref="I20:J20"/>
    <mergeCell ref="A31:B31"/>
    <mergeCell ref="A39:B39"/>
    <mergeCell ref="A50:G56"/>
  </mergeCells>
  <hyperlinks>
    <hyperlink xmlns:r="http://schemas.openxmlformats.org/officeDocument/2006/relationships" ref="E18" display="E-Mail:ahmedalhadede2002@yahoo.com" r:id="rId1"/>
    <hyperlink xmlns:r="http://schemas.openxmlformats.org/officeDocument/2006/relationships" ref="F18" r:id="rId2"/>
  </hyperlinks>
  <pageMargins left="0.7" right="0.7" top="0.75" bottom="0.75" header="0.3" footer="0.3"/>
  <pageSetup orientation="portrait" paperSize="9" scale="80" fitToHeight="2" horizontalDpi="4294967293"/>
  <headerFooter scaleWithDoc="0" alignWithMargins="0">
    <oddHeader/>
    <oddFooter>&amp;L&amp;8 Aust Umzüge &amp; Haushaltsauflösungen_x000a_Ehrlicherstraße 38_x000a_31135 Hildesheim &amp;C&amp;8 Sparkasse Hildeshiem Goslar Peine_x000a_IBAN: DE67 2595 0130 0057 4537 49_x000a_BIC: NOLADE21HIK&amp;R&amp;8 St.Nr.: 30/101/22146 _x000a_USt-IdNr.: DE330779170</oddFooter>
    <evenHeader/>
    <evenFooter/>
    <firstHeader/>
    <firstFooter/>
  </headerFooter>
  <rowBreaks count="1" manualBreakCount="1">
    <brk id="69" min="0" max="7" man="1"/>
  </rowBreaks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Windows7</dc:creator>
  <dcterms:created xsi:type="dcterms:W3CDTF">2021-11-09T16:14:03Z</dcterms:created>
  <dcterms:modified xsi:type="dcterms:W3CDTF">2026-02-20T08:22:20Z</dcterms:modified>
  <cp:lastModifiedBy>Alex Aust</cp:lastModifiedBy>
  <cp:lastPrinted>2026-02-05T14:54:24Z</cp:lastPrinted>
</cp:coreProperties>
</file>