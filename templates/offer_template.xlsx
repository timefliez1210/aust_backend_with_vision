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localSheetId="0" name="_xlnm.Print_Area" vbProcedure="false">Tabelle1!$A$1:$H$120,Tabelle1!$I$1:$P$43</definedName>
    <definedName function="false" hidden="false" name="Firmenname" vbProcedure="false">Tabelle1!$B$1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<sst xmlns="http://schemas.openxmlformats.org/spreadsheetml/2006/main" count="56" uniqueCount="52">
  <si>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r>
      <rPr>
        <u val="single"/>
        <sz val="8"/>
        <color rgb="FF000000"/>
        <rFont val="Calibri"/>
        <family val="2"/>
        <charset val="1"/>
      </rPr>
      <t xml:space="preserve">Aust Umzüge &amp; Haushaltsauflösungen</t>
    </r>
    <r>
      <rPr>
        <sz val="11"/>
        <color rgb="FF000000"/>
        <rFont val="Calibri"/>
        <family val="2"/>
        <charset val="1"/>
      </rPr>
      <t xml:space="preserve"> </t>
    </r>
    <r>
      <rPr>
        <sz val="8"/>
        <color rgb="FF000000"/>
        <rFont val="Calibri"/>
        <family val="2"/>
        <charset val="1"/>
      </rPr>
      <t xml:space="preserve"> </t>
    </r>
  </si>
  <si>
    <t xml:space="preserve">Ehrlicherstr. 38  31135 Hildesheim</t>
  </si>
  <si>
    <t xml:space="preserve">Herrn</t>
  </si>
  <si>
    <t xml:space="preserve">Horst Lindenthal</t>
  </si>
  <si>
    <t xml:space="preserve">Schlickumerstr. 15A</t>
  </si>
  <si>
    <t xml:space="preserve">31157 Sarstedt</t>
  </si>
  <si>
    <t xml:space="preserve">Beschreibung</t>
  </si>
  <si>
    <t xml:space="preserve">Sonstige </t>
  </si>
  <si>
    <t xml:space="preserve">Menge</t>
  </si>
  <si>
    <t xml:space="preserve">Unverbindlicher Kostenvoranschlag 2026-132</t>
  </si>
  <si>
    <t xml:space="preserve">Auftragsdatum: </t>
  </si>
  <si>
    <t xml:space="preserve">KW 13-14</t>
  </si>
  <si>
    <t xml:space="preserve">Kundentelefonnr.: </t>
  </si>
  <si>
    <t xml:space="preserve">01746555333</t>
  </si>
  <si>
    <t xml:space="preserve">E-Mail: </t>
  </si>
  <si>
    <t xml:space="preserve">delphinchris007@web.de</t>
  </si>
  <si>
    <t xml:space="preserve">Sehr geehrter Herr Krause,</t>
  </si>
  <si>
    <t xml:space="preserve">vielen Dank für das Interesse an unserem Unternehmen.</t>
  </si>
  <si>
    <t xml:space="preserve">Gerne unterbreiten wir Ihnen folgendes Angebot.</t>
  </si>
  <si>
    <t xml:space="preserve">Beladestelle:</t>
  </si>
  <si>
    <t xml:space="preserve">Entladestelle:</t>
  </si>
  <si>
    <t xml:space="preserve">Weinhagenstr. 9</t>
  </si>
  <si>
    <t xml:space="preserve">31135 Hildesheim</t>
  </si>
  <si>
    <t xml:space="preserve">2OG mit Fahrstuhl</t>
  </si>
  <si>
    <t xml:space="preserve">1 OG </t>
  </si>
  <si>
    <t xml:space="preserve">Umzugspauschale 15 m³</t>
  </si>
  <si>
    <t xml:space="preserve">Bemerkung</t>
  </si>
  <si>
    <t xml:space="preserve">Einzelpreis</t>
  </si>
  <si>
    <t xml:space="preserve">Gesamt Netto</t>
  </si>
  <si>
    <t xml:space="preserve">De/Montage</t>
  </si>
  <si>
    <t xml:space="preserve">Halteverbotszone</t>
  </si>
  <si>
    <t xml:space="preserve"> Entladestelle</t>
  </si>
  <si>
    <t xml:space="preserve">Umzugsmaterial</t>
  </si>
  <si>
    <t xml:space="preserve">Stretchfolie,Decken,Gurte</t>
  </si>
  <si>
    <t xml:space="preserve">Verkauf Seidenpapier</t>
  </si>
  <si>
    <t xml:space="preserve">500x750 </t>
  </si>
  <si>
    <t xml:space="preserve">Verkauf U-Karton</t>
  </si>
  <si>
    <t xml:space="preserve">590x318x328</t>
  </si>
  <si>
    <t xml:space="preserve">Verkauf B-Karton</t>
  </si>
  <si>
    <t xml:space="preserve">400x318x328</t>
  </si>
  <si>
    <t xml:space="preserve">Verleih Kleiderboxen</t>
  </si>
  <si>
    <t xml:space="preserve">610x520x1370 </t>
  </si>
  <si>
    <t xml:space="preserve">Personal</t>
  </si>
  <si>
    <t xml:space="preserve">6 Umzugshelfer</t>
  </si>
  <si>
    <t xml:space="preserve">3,5t Transporter m. Koffer</t>
  </si>
  <si>
    <t xml:space="preserve">Möbellift</t>
  </si>
  <si>
    <t xml:space="preserve">Transferfahrzeug</t>
  </si>
  <si>
    <t xml:space="preserve">Nürnberger Versicherung</t>
  </si>
  <si>
    <t xml:space="preserve">Anfahrt/Abfahrt</t>
  </si>
  <si>
    <t xml:space="preserve">Nettobetrag</t>
  </si>
  <si>
    <t xml:space="preserve">Umsatzsteuer 19%</t>
  </si>
  <si>
    <t xml:space="preserve">Bruttobetrag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</si>
</sst>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mmmm\ d&quot;, &quot;yyyy;@"/>
    <numFmt numFmtId="166" formatCode="[&lt;=9999999]###\-####;\(###&quot;) &quot;###\-####"/>
    <numFmt numFmtId="167" formatCode="m/d/yyyy"/>
    <numFmt numFmtId="168" formatCode="@"/>
    <numFmt numFmtId="169" formatCode="_-* #,##0.00\ [$€-407]_-;\-* #,##0.00\ [$€-407]_-;_-* \-??\ [$€-407]_-;_-@_-"/>
    <numFmt numFmtId="170" formatCode="#,##0&quot; €&quot;;[RED]\-#,##0&quot; €&quot;"/>
    <numFmt numFmtId="171" formatCode="_-* #,##0.00&quot; €&quot;_-;\-* #,##0.00&quot; €&quot;_-;_-* \-??&quot; €&quot;_-;_-@_-"/>
    <numFmt numFmtId="172" formatCode="#,##0.00&quot; €/Stunde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i val="true"/>
      <sz val="14"/>
      <color theme="1"/>
      <name val="Calibri"/>
      <family val="2"/>
      <charset val="1"/>
    </font>
    <font>
      <u val="single"/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1"/>
      <color rgb="FF111111"/>
      <name val="Calibri"/>
      <family val="2"/>
      <charset val="1"/>
    </font>
    <font>
      <sz val="11"/>
      <color theme="1"/>
      <name val="Wingdings 2"/>
      <family val="1"/>
      <charset val="2"/>
    </font>
    <font>
      <b val="true"/>
      <u val="double"/>
      <sz val="11"/>
      <color theme="1"/>
      <name val="Calibri"/>
      <family val="2"/>
      <charset val="1"/>
    </font>
    <font>
      <sz val="11"/>
      <color theme="1"/>
      <name val="Calibri"/>
      <family val="0"/>
    </font>
    <font>
      <sz val="11"/>
      <color rgb="FF000000"/>
      <name val="Times New Roman"/>
      <family val="0"/>
    </font>
    <font>
      <u val="single"/>
      <sz val="11"/>
      <color theme="1"/>
      <name val="Calibri"/>
      <family val="0"/>
    </font>
    <font>
      <sz val="14"/>
      <color rgb="FF000000"/>
      <name val="Times New Roman"/>
      <family val="0"/>
    </font>
    <font>
      <b val="true"/>
      <sz val="14"/>
      <color theme="1"/>
      <name val="Calibri"/>
      <family val="0"/>
    </font>
    <font>
      <b val="true"/>
      <sz val="11"/>
      <color theme="1"/>
      <name val="Calibri"/>
      <family val="0"/>
    </font>
    <font>
      <b val="true"/>
      <u val="single"/>
      <sz val="11"/>
      <color theme="1"/>
      <name val="Calibri"/>
      <family val="0"/>
    </font>
    <font>
      <sz val="9"/>
      <color theme="1"/>
      <name val="Calibri"/>
      <family val="0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right" vertical="center" textRotation="0" wrapText="false" indent="1" shrinkToFit="false"/>
    </xf>
    <xf numFmtId="166" fontId="0" fillId="0" borderId="0" applyFont="true" applyBorder="false" applyAlignment="true" applyProtection="true">
      <alignment horizontal="left" vertical="top" textRotation="0" wrapText="false" indent="0" shrinkToFit="false"/>
      <protection locked="true" hidden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true" applyNumberFormat="true">
      <alignment horizontal="center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4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true" applyNumberFormat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26" fillId="2" borderId="5" xfId="0" applyFont="true" applyFill="true" applyBorder="true" applyAlignment="true">
      <alignment horizontal="left" vertical="center" wrapText="true"/>
    </xf>
    <xf numFmtId="0" fontId="26" fillId="2" borderId="5" xfId="0" applyFont="true" applyFill="true" applyBorder="true" applyAlignment="true">
      <alignment horizontal="center" vertical="center" wrapText="true"/>
    </xf>
    <xf numFmtId="0" fontId="0" fillId="3" borderId="5" xfId="0" applyFill="true" applyBorder="true" applyAlignment="true">
      <alignment horizontal="center" vertical="center"/>
    </xf>
    <xf numFmtId="0" fontId="0" fillId="4" borderId="5" xfId="0" applyFill="true" applyBorder="true" applyAlignment="true">
      <alignment horizontal="center" vertical="center"/>
    </xf>
    <xf numFmtId="171" fontId="0" fillId="3" borderId="0" xfId="0" applyNumberFormat="true" applyFill="true" applyBorder="true" applyAlignment="true">
      <alignment horizontal="right" vertical="center"/>
    </xf>
    <xf numFmtId="171" fontId="0" fillId="4" borderId="0" xfId="0" applyNumberFormat="true" applyFill="true" applyBorder="true" applyAlignment="true">
      <alignment horizontal="right" vertical="center"/>
    </xf>
    <xf numFmtId="172" fontId="0" fillId="3" borderId="0" xfId="0" applyNumberFormat="true" applyFill="true" applyBorder="true" applyAlignment="true">
      <alignment horizontal="center" vertical="center"/>
    </xf>
    <xf numFmtId="172" fontId="0" fillId="4" borderId="0" xfId="0" applyNumberFormat="true" applyFill="true" applyBorder="true" applyAlignment="true">
      <alignment horizontal="center" vertical="center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um" xfId="21"/>
    <cellStyle name="Hyperlink 1" xfId="22"/>
    <cellStyle name="Produktbeschreibung" xfId="23"/>
    <cellStyle name="Rechtsbündig" xfId="24"/>
    <cellStyle name="Telefon" xfId="2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925056</xdr:colOff>
      <xdr:row>8</xdr:row>
      <xdr:rowOff>79560</xdr:rowOff>
    </xdr:from>
    <xdr:to>
      <xdr:col>7</xdr:col>
      <xdr:colOff>832176</xdr:colOff>
      <xdr:row>13</xdr:row>
      <xdr:rowOff>185040</xdr:rowOff>
    </xdr:to>
    <xdr:sp>
      <xdr:nvSpPr>
        <xdr:cNvPr id="1" name="Textfeld 6"/>
        <xdr:cNvSpPr/>
      </xdr:nvSpPr>
      <xdr:spPr>
        <a:xfrm>
          <a:off x="5562720" y="1796760"/>
          <a:ext cx="2215800" cy="1057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Ehrlicherstr. 38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31135 Hildesheim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05121 / 7558379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info@aust-umzuege.de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www.aust-umzuege.de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95400</xdr:colOff>
      <xdr:row>69</xdr:row>
      <xdr:rowOff>146160</xdr:rowOff>
    </xdr:from>
    <xdr:to>
      <xdr:col>6</xdr:col>
      <xdr:colOff>14760</xdr:colOff>
      <xdr:row>117</xdr:row>
      <xdr:rowOff>44640</xdr:rowOff>
    </xdr:to>
    <xdr:sp>
      <xdr:nvSpPr>
        <xdr:cNvPr id="2" name="Textfeld 9"/>
        <xdr:cNvSpPr/>
      </xdr:nvSpPr>
      <xdr:spPr>
        <a:xfrm>
          <a:off x="95400" y="13700160"/>
          <a:ext cx="5713560" cy="9042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Die Bestandsaufnahme erfolgte via Besichtigung. Die Auflistung der Gegenstände ist vorhanden und wird vor Beginn des Auftrags mit Ihnen abgeglichen.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Parkplätze vor Hauseingängen sind freizuhalten, wenn keine Halteverbotszone besteht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Vorhandene Tragewege müssen beachtet und genannt werden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Kartons dürfen max. bis 20 Kg gepackt sein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Massive Holzmöbel / Designermöbel müssen gesondert benannt werden 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Sollte Umzugsgut nicht durch die üblichen Tragewegen transportiert werden können, ist das    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 Umzugsunternehmen nicht dazu verpflichtet dies möglich zu machen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Bei etwaigem Mehraufwand abwegig der Bestandsaufnahme (0,5m³), kann es zu einem Aufpreis kommen.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Wir hoffen auf Ihre Zustimmung und freuen uns auf die Zusammenarbeit.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Unsere AGBs finden Sie unter </a:t>
          </a:r>
          <a:r>
            <a:rPr lang="de-DE" sz="1100" b="0" u="sng" strike="noStrike">
              <a:solidFill>
                <a:schemeClr val="dk1"/>
              </a:solidFill>
              <a:effectLst/>
              <a:uFillTx/>
              <a:latin typeface="Calibri"/>
            </a:rPr>
            <a:t>www.aust-umzuege.de/rechtliches/agbs</a:t>
          </a: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4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400" b="1" u="none" strike="noStrike">
              <a:solidFill>
                <a:schemeClr val="dk1"/>
              </a:solidFill>
              <a:effectLst/>
              <a:uFillTx/>
              <a:latin typeface="Calibri"/>
            </a:rPr>
            <a:t>Ihr Umzug in besten Händen bei Aust!</a:t>
          </a:r>
          <a:endParaRPr lang="en-US" sz="14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Der Rechnungsbetrag ist in </a:t>
          </a:r>
          <a:r>
            <a:rPr lang="de-DE" sz="1100" b="1" u="sng" strike="noStrike">
              <a:solidFill>
                <a:schemeClr val="dk1"/>
              </a:solidFill>
              <a:effectLst/>
              <a:uFillTx/>
              <a:latin typeface="Calibri"/>
            </a:rPr>
            <a:t>Bar</a:t>
          </a: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 zahlbar ohne Abzug nach Auftragsende.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Firmen und Institutionen zahlen nach Erhalt der Rechnung.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_______________________                       ____________________________</a:t>
          </a: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900" b="0" u="none" strike="noStrike">
              <a:solidFill>
                <a:schemeClr val="dk1"/>
              </a:solidFill>
              <a:effectLst/>
              <a:uFillTx/>
              <a:latin typeface="Calibri"/>
            </a:rPr>
            <a:t>Datum, Unterschrift Kunde                                          Datum, Unterschrift Umzugsunternehmen</a:t>
          </a:r>
          <a:endParaRPr lang="en-US" sz="9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Der Auftrag wurde ordnungsgemäß nach Kostenvoranschlag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durchgeführt am:  ______________________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_______________________                       ____________________________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900" b="0" u="none" strike="noStrike">
              <a:solidFill>
                <a:schemeClr val="dk1"/>
              </a:solidFill>
              <a:effectLst/>
              <a:uFillTx/>
              <a:latin typeface="Calibri"/>
            </a:rPr>
            <a:t>Datum, Unterschrift Kunde                                          Datum, Unterschrift Umzugsunternehmen</a:t>
          </a:r>
          <a:endParaRPr lang="en-US" sz="9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oneCellAnchor>
    <xdr:from>
      <xdr:col>5</xdr:col>
      <xdr:colOff>638266</xdr:colOff>
      <xdr:row>0</xdr:row>
      <xdr:rowOff>169284</xdr:rowOff>
    </xdr:from>
    <xdr:ext cx="2000000" cy="1322862"/>
    <xdr:pic>
      <xdr:nvPicPr>
        <xdr:cNvPr id="3" name="Grafik 2"/>
        <xdr:cNvPicPr/>
      </xdr:nvPicPr>
      <xdr:blipFill>
        <a:blip r:embed="rId1"/>
        <a:stretch/>
      </xdr:blipFill>
      <xdr:spPr>
        <a:xfrm>
          <a:off x="5200560" y="371520"/>
          <a:ext cx="2000000" cy="1322862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-mail:ahmedalhadede2002@yahoo.com" TargetMode="External"/><Relationship Id="rId2" Type="http://schemas.openxmlformats.org/officeDocument/2006/relationships/hyperlink" Target="mailto:delphinchris007@web.de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N5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N44" activeCellId="0" sqref="N44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8.86"/>
    <col collapsed="false" customWidth="true" hidden="false" outlineLevel="0" max="2" min="2" style="1" width="5.71"/>
    <col collapsed="false" customWidth="true" hidden="false" outlineLevel="0" max="3" min="3" style="1" width="27.72"/>
    <col collapsed="false" customWidth="true" hidden="true" outlineLevel="0" max="4" min="4" style="1" width="53"/>
    <col collapsed="false" customWidth="true" hidden="false" outlineLevel="0" max="5" min="5" style="1" width="7.28"/>
    <col collapsed="false" customWidth="true" hidden="false" outlineLevel="0" max="6" min="6" style="1" width="12.86"/>
    <col collapsed="false" customWidth="true" hidden="false" outlineLevel="0" max="7" min="7" style="1" width="16"/>
    <col collapsed="false" customWidth="true" hidden="false" outlineLevel="0" max="9" min="9" style="1" width="20"/>
    <col collapsed="false" customWidth="true" hidden="false" outlineLevel="0" max="11" min="11" style="1" width="20.43"/>
  </cols>
  <sheetData>
    <row r="1" customFormat="false" ht="21.75" hidden="false" customHeight="true" outlineLevel="0" collapsed="false"/>
    <row r="2" customFormat="false" ht="19.7" hidden="false" customHeight="false" outlineLevel="0" collapsed="false">
      <c r="A2" s="2" t="inlineStr">
        <is>
          <t>Aust Umzüge und Haushaltsauflösungen</t>
        </is>
      </c>
      <c r="B2" s="2"/>
      <c r="C2" s="2"/>
      <c r="D2" s="2"/>
      <c r="E2" s="2"/>
      <c r="F2" s="3"/>
    </row>
    <row r="3" customFormat="false" ht="17.35" hidden="false" customHeight="false" outlineLevel="0" collapsed="false">
      <c r="A3" s="4" t="inlineStr">
        <is>
          <t>Ihr Umzug in besten Händen bei Aust!</t>
        </is>
      </c>
      <c r="B3" s="4"/>
      <c r="C3" s="4"/>
      <c r="D3" s="4"/>
      <c r="E3" s="4"/>
      <c r="F3" s="5"/>
      <c r="J3" s="1" t="str">
        <f aca="false">A16</f>
        <v>Unverbindlicher Kostenvoranschlag 2026-132</v>
      </c>
    </row>
    <row r="4" customFormat="false" ht="15" hidden="false" customHeight="false" outlineLevel="0" collapsed="false">
      <c r="I4" s="1" t="str">
        <f aca="false">A8</f>
        <v>Herrn</v>
      </c>
    </row>
    <row r="5" customFormat="false" ht="16.4" hidden="false" customHeight="false" outlineLevel="0" collapsed="false">
      <c r="A5" s="6" t="s">
        <v>0</v>
      </c>
      <c r="B5" s="6"/>
      <c r="I5" s="1" t="str">
        <f aca="false">A9</f>
        <v>Horst Lindenthal</v>
      </c>
      <c r="K5" s="1" t="str">
        <f aca="false">F18</f>
        <v>delphinchris007@web.de</v>
      </c>
    </row>
    <row r="6" customFormat="false" ht="15" hidden="false" customHeight="false" outlineLevel="0" collapsed="false">
      <c r="A6" s="6" t="s">
        <v>1</v>
      </c>
      <c r="B6" s="6"/>
      <c r="I6" s="1" t="str">
        <f aca="false">A17</f>
        <v>Auftragsdatum: </v>
      </c>
      <c r="J6" s="7" t="str">
        <f aca="false">B17</f>
        <v>KW 13-14</v>
      </c>
    </row>
    <row r="7" customFormat="false" ht="15" hidden="false" customHeight="false" outlineLevel="0" collapsed="false">
      <c r="I7" s="8" t="str">
        <f aca="false">A18</f>
        <v>Kundentelefonnr.: </v>
      </c>
      <c r="J7" s="9" t="str">
        <f aca="false">B18</f>
        <v>01746555333</v>
      </c>
    </row>
    <row r="8" customFormat="false" ht="15" hidden="false" customHeight="false" outlineLevel="0" collapsed="false">
      <c r="A8" s="1" t="s">
        <v>2</v>
      </c>
    </row>
    <row r="9" customFormat="false" ht="15" hidden="false" customHeight="false" outlineLevel="0" collapsed="false">
      <c r="A9" s="1" t="s">
        <v>3</v>
      </c>
      <c r="I9" s="1" t="str">
        <f aca="false">A25</f>
        <v>Beladestelle:</v>
      </c>
      <c r="L9" s="1" t="str">
        <f aca="false">F25</f>
        <v>Entladestelle:</v>
      </c>
    </row>
    <row r="10" customFormat="false" ht="15" hidden="false" customHeight="false" outlineLevel="0" collapsed="false">
      <c r="A10" s="8" t="s">
        <v>4</v>
      </c>
      <c r="B10" s="8"/>
      <c r="I10" s="1" t="str">
        <f aca="false">A26</f>
        <v>Schlickumerstr. 15A</v>
      </c>
      <c r="L10" s="1" t="str">
        <f aca="false">F26</f>
        <v>Weinhagenstr. 9</v>
      </c>
    </row>
    <row r="11" customFormat="false" ht="15" hidden="false" customHeight="false" outlineLevel="0" collapsed="false">
      <c r="A11" s="8" t="s">
        <v>5</v>
      </c>
      <c r="B11" s="8"/>
      <c r="I11" s="1" t="str">
        <f aca="false">A27</f>
        <v>31157 Sarstedt</v>
      </c>
      <c r="L11" s="10" t="str">
        <f aca="false">F27</f>
        <v>31135 Hildesheim</v>
      </c>
    </row>
    <row r="12" customFormat="false" ht="15" hidden="false" customHeight="false" outlineLevel="0" collapsed="false">
      <c r="I12" s="1" t="str">
        <f aca="false">A28</f>
        <v>2OG mit Fahrstuhl</v>
      </c>
      <c r="L12" s="1" t="str">
        <f aca="false">F28</f>
        <v>1 OG </v>
      </c>
    </row>
    <row r="14" customFormat="false" ht="15" hidden="false" customHeight="false" outlineLevel="0" collapsed="false">
      <c r="G14" s="11" t="n">
        <f aca="true">(TODAY())</f>
        <v>46078</v>
      </c>
      <c r="I14" s="1" t="str">
        <f aca="false">A29</f>
        <v>Umzugspauschale 15 m³</v>
      </c>
    </row>
    <row r="15" customFormat="false" ht="15" hidden="false" customHeight="false" outlineLevel="0" collapsed="false">
      <c r="I15" s="12" t="s">
        <v>6</v>
      </c>
      <c r="J15" s="12"/>
      <c r="K15" s="12" t="s">
        <v>7</v>
      </c>
      <c r="L15" s="13"/>
      <c r="M15" s="14" t="s">
        <v>8</v>
      </c>
    </row>
    <row r="16" customFormat="false" ht="21" hidden="false" customHeight="true" outlineLevel="0" collapsed="false">
      <c r="A16" s="15" t="s">
        <v>9</v>
      </c>
      <c r="B16" s="15"/>
      <c r="C16" s="15"/>
      <c r="D16" s="15"/>
      <c r="E16" s="15"/>
      <c r="F16" s="16"/>
      <c r="G16" s="16"/>
      <c r="I16" s="17" t="str">
        <f aca="false">A31</f>
        <v>De/Montage</v>
      </c>
      <c r="J16" s="17"/>
      <c r="K16" s="18" t="n">
        <f aca="false">C31</f>
        <v>0</v>
      </c>
      <c r="L16" s="19"/>
      <c r="M16" s="19" t="n">
        <f aca="false">E31</f>
        <v>0</v>
      </c>
    </row>
    <row r="17" customFormat="false" ht="15" hidden="false" customHeight="false" outlineLevel="0" collapsed="false">
      <c r="A17" s="1" t="s">
        <v>10</v>
      </c>
      <c r="B17" s="20" t="s">
        <v>11</v>
      </c>
      <c r="C17" s="20"/>
      <c r="I17" s="21" t="str">
        <f aca="false">A32</f>
        <v>Halteverbotszone</v>
      </c>
      <c r="J17" s="21"/>
      <c r="K17" s="22" t="str">
        <f aca="false">C32</f>
        <v> Entladestelle</v>
      </c>
      <c r="L17" s="23"/>
      <c r="M17" s="23" t="n">
        <f aca="false">E32</f>
        <v>0</v>
      </c>
    </row>
    <row r="18" customFormat="false" ht="15" hidden="false" customHeight="true" outlineLevel="0" collapsed="false">
      <c r="A18" s="1" t="s">
        <v>12</v>
      </c>
      <c r="B18" s="24" t="s">
        <v>13</v>
      </c>
      <c r="C18" s="9"/>
      <c r="E18" s="25" t="s">
        <v>14</v>
      </c>
      <c r="F18" s="26" t="s">
        <v>15</v>
      </c>
      <c r="G18" s="27"/>
      <c r="H18" s="28"/>
      <c r="I18" s="17" t="str">
        <f aca="false">A33</f>
        <v>Umzugsmaterial</v>
      </c>
      <c r="J18" s="17"/>
      <c r="K18" s="18" t="str">
        <f aca="false">C33</f>
        <v>Stretchfolie,Decken,Gurte</v>
      </c>
      <c r="L18" s="19"/>
      <c r="M18" s="19" t="n">
        <f aca="false">E33</f>
        <v>1</v>
      </c>
    </row>
    <row r="19" customFormat="false" ht="15" hidden="false" customHeight="false" outlineLevel="0" collapsed="false">
      <c r="B19" s="29"/>
      <c r="C19" s="9"/>
      <c r="E19" s="27"/>
      <c r="F19" s="27"/>
      <c r="G19" s="27"/>
      <c r="I19" s="30" t="str">
        <f aca="false">A34</f>
        <v>Verkauf Seidenpapier</v>
      </c>
      <c r="J19" s="31"/>
      <c r="K19" s="22" t="str">
        <f aca="false">C34</f>
        <v>500x750 </v>
      </c>
      <c r="L19" s="23"/>
      <c r="M19" s="23" t="n">
        <f aca="false">E34</f>
        <v>0</v>
      </c>
    </row>
    <row r="20" customFormat="false" ht="13.5" hidden="false" customHeight="true" outlineLevel="0" collapsed="false">
      <c r="A20" s="32" t="s">
        <v>16</v>
      </c>
      <c r="B20" s="32"/>
      <c r="C20" s="32"/>
      <c r="G20" s="33"/>
      <c r="I20" s="17" t="str">
        <f aca="false">A35</f>
        <v>Verkauf U-Karton</v>
      </c>
      <c r="J20" s="17"/>
      <c r="K20" s="18" t="str">
        <f aca="false">C35</f>
        <v>590x318x328</v>
      </c>
      <c r="L20" s="19"/>
      <c r="M20" s="19" t="n">
        <f aca="false">E35</f>
        <v>0</v>
      </c>
    </row>
    <row r="21" customFormat="false" ht="18" hidden="false" customHeight="true" outlineLevel="0" collapsed="false">
      <c r="I21" s="21" t="str">
        <f aca="false">A37</f>
        <v>Verleih Kleiderboxen</v>
      </c>
      <c r="J21" s="21"/>
      <c r="K21" s="22" t="str">
        <f aca="false">C36</f>
        <v>400x318x328</v>
      </c>
      <c r="L21" s="23"/>
      <c r="M21" s="23" t="n">
        <f aca="false">E37</f>
        <v>0</v>
      </c>
    </row>
    <row r="22" customFormat="false" ht="15" hidden="false" customHeight="false" outlineLevel="0" collapsed="false">
      <c r="A22" s="1" t="s">
        <v>17</v>
      </c>
      <c r="I22" s="34" t="str">
        <f aca="false">A38</f>
        <v>Personal</v>
      </c>
      <c r="J22" s="34"/>
      <c r="K22" s="18"/>
      <c r="L22" s="19"/>
      <c r="M22" s="19" t="n">
        <f aca="false">E38</f>
        <v>3</v>
      </c>
    </row>
    <row r="23" customFormat="false" ht="15" hidden="false" customHeight="false" outlineLevel="0" collapsed="false">
      <c r="A23" s="1" t="s">
        <v>18</v>
      </c>
      <c r="I23" s="21" t="str">
        <f aca="false">A39</f>
        <v>3,5t Transporter m. Koffer</v>
      </c>
      <c r="J23" s="21"/>
      <c r="K23" s="22" t="n">
        <f aca="false">C39</f>
        <v>0</v>
      </c>
      <c r="L23" s="23"/>
      <c r="M23" s="23" t="n">
        <f aca="false">E39</f>
        <v>1</v>
      </c>
    </row>
    <row r="24" customFormat="false" ht="15" hidden="false" customHeight="false" outlineLevel="0" collapsed="false">
      <c r="I24" s="17" t="str">
        <f aca="false">A41</f>
        <v>Transferfahrzeug</v>
      </c>
      <c r="J24" s="17"/>
      <c r="K24" s="18" t="n">
        <f aca="false">C41</f>
        <v>0</v>
      </c>
      <c r="L24" s="19"/>
      <c r="M24" s="19" t="n">
        <f aca="false">E41</f>
        <v>0</v>
      </c>
    </row>
    <row r="25" customFormat="false" ht="16.4" hidden="false" customHeight="true" outlineLevel="0" collapsed="false">
      <c r="A25" s="35" t="s">
        <v>19</v>
      </c>
      <c r="B25" s="35"/>
      <c r="D25" s="36" t="s">
        <v>20</v>
      </c>
      <c r="F25" s="37" t="s">
        <v>20</v>
      </c>
      <c r="G25" s="37"/>
      <c r="H25" s="37"/>
      <c r="I25" s="38"/>
      <c r="J25" s="38"/>
      <c r="K25" s="22"/>
      <c r="L25" s="23"/>
      <c r="M25" s="23"/>
    </row>
    <row r="26" customFormat="false" ht="15" hidden="false" customHeight="false" outlineLevel="0" collapsed="false">
      <c r="A26" s="39" t="str">
        <f aca="false">A10</f>
        <v>Schlickumerstr. 15A</v>
      </c>
      <c r="B26" s="39"/>
      <c r="C26" s="8"/>
      <c r="D26" s="36"/>
      <c r="F26" s="40" t="s">
        <v>21</v>
      </c>
      <c r="G26" s="40"/>
    </row>
    <row r="27" customFormat="false" ht="15" hidden="false" customHeight="false" outlineLevel="0" collapsed="false">
      <c r="A27" s="39" t="str">
        <f aca="false">A11</f>
        <v>31157 Sarstedt</v>
      </c>
      <c r="B27" s="39"/>
      <c r="D27" s="36"/>
      <c r="F27" s="41" t="s">
        <v>22</v>
      </c>
      <c r="G27" s="42"/>
      <c r="H27" s="43"/>
    </row>
    <row r="28" customFormat="false" ht="16.4" hidden="false" customHeight="false" outlineLevel="0" collapsed="false">
      <c r="A28" s="44" t="s">
        <v>23</v>
      </c>
      <c r="B28" s="45"/>
      <c r="D28" s="36"/>
      <c r="F28" s="1" t="s">
        <v>24</v>
      </c>
      <c r="G28" s="46"/>
      <c r="H28" s="8"/>
      <c r="I28" s="47"/>
      <c r="J28" s="47"/>
      <c r="K28" s="47"/>
      <c r="L28" s="47"/>
      <c r="M28" s="47"/>
    </row>
    <row r="29" customFormat="false" ht="15.75" hidden="false" customHeight="true" outlineLevel="0" collapsed="false">
      <c r="A29" s="48" t="s">
        <v>25</v>
      </c>
      <c r="B29" s="48"/>
      <c r="C29" s="48"/>
      <c r="D29" s="48"/>
      <c r="E29" s="48"/>
      <c r="F29" s="48"/>
      <c r="G29" s="48"/>
      <c r="I29" s="47"/>
      <c r="J29" s="47"/>
      <c r="K29" s="47"/>
      <c r="L29" s="47"/>
      <c r="M29" s="47"/>
      <c r="N29" s="49"/>
    </row>
    <row r="30" customFormat="false" ht="15" hidden="false" customHeight="false" outlineLevel="0" collapsed="false">
      <c r="A30" s="50" t="s">
        <v>6</v>
      </c>
      <c r="B30" s="50"/>
      <c r="C30" s="51" t="s">
        <v>26</v>
      </c>
      <c r="D30" s="28"/>
      <c r="E30" s="52" t="s">
        <v>8</v>
      </c>
      <c r="F30" s="36" t="s">
        <v>27</v>
      </c>
      <c r="G30" s="52" t="s">
        <v>28</v>
      </c>
      <c r="I30" s="47"/>
      <c r="J30" s="47"/>
      <c r="K30" s="47"/>
      <c r="L30" s="47"/>
      <c r="M30" s="47"/>
      <c r="N30" s="53"/>
    </row>
    <row r="31" customFormat="false" ht="15" hidden="false" customHeight="false" outlineLevel="0" collapsed="false">
      <c r="A31" s="54" t="s">
        <v>29</v>
      </c>
      <c r="B31" s="54"/>
      <c r="C31" s="55"/>
      <c r="D31" s="56"/>
      <c r="E31" s="56" t="n">
        <v>0</v>
      </c>
      <c r="F31" s="57" t="n">
        <v>50</v>
      </c>
      <c r="G31" s="57" t="n">
        <f aca="false">IF(E31="", 0, F31*E31)</f>
        <v>0</v>
      </c>
      <c r="N31" s="58"/>
    </row>
    <row r="32" customFormat="false" ht="15" hidden="false" customHeight="false" outlineLevel="0" collapsed="false">
      <c r="A32" s="59" t="s">
        <v>30</v>
      </c>
      <c r="B32" s="59"/>
      <c r="C32" s="60" t="s">
        <v>31</v>
      </c>
      <c r="D32" s="61"/>
      <c r="E32" s="61" t="n">
        <v>0</v>
      </c>
      <c r="F32" s="62" t="n">
        <v>100</v>
      </c>
      <c r="G32" s="62" t="n">
        <f aca="false">IF(E32="", 0, F32*E32)</f>
        <v>0</v>
      </c>
      <c r="I32" s="63"/>
      <c r="J32" s="63"/>
      <c r="K32" s="63"/>
      <c r="L32" s="63"/>
      <c r="M32" s="63"/>
    </row>
    <row r="33" customFormat="false" ht="15" hidden="false" customHeight="false" outlineLevel="0" collapsed="false">
      <c r="A33" s="54" t="s">
        <v>32</v>
      </c>
      <c r="B33" s="54"/>
      <c r="C33" s="55" t="s">
        <v>33</v>
      </c>
      <c r="D33" s="56"/>
      <c r="E33" s="56" t="n">
        <v>1</v>
      </c>
      <c r="F33" s="57" t="n">
        <v>30</v>
      </c>
      <c r="G33" s="57" t="n">
        <f aca="false">IF(E33="", 0, F33*E33)</f>
        <v>30</v>
      </c>
      <c r="I33" s="63"/>
      <c r="J33" s="63"/>
      <c r="K33" s="63"/>
      <c r="L33" s="63"/>
      <c r="M33" s="63"/>
    </row>
    <row r="34" customFormat="false" ht="15" hidden="false" customHeight="false" outlineLevel="0" collapsed="false">
      <c r="A34" s="64" t="s">
        <v>34</v>
      </c>
      <c r="B34" s="64"/>
      <c r="C34" s="60" t="s">
        <v>35</v>
      </c>
      <c r="D34" s="61"/>
      <c r="E34" s="61" t="n">
        <v>0</v>
      </c>
      <c r="F34" s="62" t="n">
        <v>5</v>
      </c>
      <c r="G34" s="62" t="n">
        <f aca="false">IF(E34="", 0, F34*E34)</f>
        <v>0</v>
      </c>
      <c r="I34" s="63"/>
      <c r="J34" s="63"/>
      <c r="K34" s="63"/>
      <c r="L34" s="63"/>
      <c r="M34" s="63"/>
    </row>
    <row r="35" customFormat="false" ht="15" hidden="false" customHeight="false" outlineLevel="0" collapsed="false">
      <c r="A35" s="54" t="s">
        <v>36</v>
      </c>
      <c r="B35" s="54"/>
      <c r="C35" s="55" t="s">
        <v>37</v>
      </c>
      <c r="D35" s="56"/>
      <c r="E35" s="56" t="n">
        <v>0</v>
      </c>
      <c r="F35" s="57" t="n">
        <v>2.1</v>
      </c>
      <c r="G35" s="57" t="n">
        <f aca="false">IF(E35="", 0, F35*E35)</f>
        <v>0</v>
      </c>
      <c r="I35" s="63"/>
      <c r="J35" s="63"/>
      <c r="K35" s="63"/>
      <c r="L35" s="63"/>
      <c r="M35" s="63"/>
    </row>
    <row r="36" customFormat="false" ht="15" hidden="false" customHeight="false" outlineLevel="0" collapsed="false">
      <c r="A36" s="65" t="s">
        <v>38</v>
      </c>
      <c r="B36" s="65"/>
      <c r="C36" s="60" t="s">
        <v>39</v>
      </c>
      <c r="D36" s="61"/>
      <c r="E36" s="61" t="n">
        <v>0</v>
      </c>
      <c r="F36" s="62" t="n">
        <v>2.2</v>
      </c>
      <c r="G36" s="62" t="n">
        <f aca="false">IF(E36="", 0, F36*E36)</f>
        <v>0</v>
      </c>
      <c r="I36" s="63"/>
      <c r="J36" s="63"/>
      <c r="K36" s="63"/>
      <c r="L36" s="63"/>
      <c r="M36" s="63"/>
    </row>
    <row r="37" customFormat="false" ht="15" hidden="false" customHeight="false" outlineLevel="0" collapsed="false">
      <c r="A37" s="54" t="s">
        <v>40</v>
      </c>
      <c r="B37" s="54"/>
      <c r="C37" s="66" t="s">
        <v>41</v>
      </c>
      <c r="D37" s="56"/>
      <c r="E37" s="56" t="n">
        <v>0</v>
      </c>
      <c r="F37" s="57" t="n">
        <v>10</v>
      </c>
      <c r="G37" s="57" t="n">
        <f aca="false">IF(E37="", 0, F37*E37)</f>
        <v>0</v>
      </c>
      <c r="I37" s="63"/>
      <c r="J37" s="63"/>
      <c r="K37" s="63"/>
      <c r="L37" s="63"/>
      <c r="M37" s="63"/>
    </row>
    <row r="38" customFormat="false" ht="15" hidden="false" customHeight="false" outlineLevel="0" collapsed="false">
      <c r="A38" s="67" t="s">
        <v>42</v>
      </c>
      <c r="B38" s="67"/>
      <c r="C38" s="60"/>
      <c r="D38" s="61" t="s">
        <v>43</v>
      </c>
      <c r="E38" s="61" t="n">
        <v>3</v>
      </c>
      <c r="F38" s="62" t="n">
        <v>28</v>
      </c>
      <c r="G38" s="62" t="n">
        <f aca="false">IF(E38="", 0, F38*E38*J58)</f>
        <v>0</v>
      </c>
      <c r="I38" s="63"/>
      <c r="J38" s="63"/>
      <c r="K38" s="63"/>
      <c r="L38" s="63"/>
      <c r="M38" s="63"/>
    </row>
    <row r="39" customFormat="false" ht="15" hidden="false" customHeight="false" outlineLevel="0" collapsed="false">
      <c r="A39" s="54" t="s">
        <v>44</v>
      </c>
      <c r="B39" s="54"/>
      <c r="C39" s="55"/>
      <c r="D39" s="56"/>
      <c r="E39" s="56" t="n">
        <v>1</v>
      </c>
      <c r="F39" s="57" t="n">
        <v>60</v>
      </c>
      <c r="G39" s="57" t="n">
        <f aca="false">IF(E39="", 0, F39*E39)</f>
        <v>60</v>
      </c>
      <c r="I39" s="63"/>
      <c r="J39" s="63"/>
      <c r="K39" s="63"/>
      <c r="L39" s="63"/>
      <c r="M39" s="63"/>
      <c r="N39" s="53"/>
    </row>
    <row r="40" customFormat="false" ht="15" hidden="false" customHeight="false" outlineLevel="0" collapsed="false">
      <c r="A40" s="65" t="s">
        <v>45</v>
      </c>
      <c r="B40" s="65"/>
      <c r="C40" s="60"/>
      <c r="D40" s="61"/>
      <c r="E40" s="61" t="n">
        <v>0</v>
      </c>
      <c r="F40" s="62" t="n">
        <v>300</v>
      </c>
      <c r="G40" s="62" t="n">
        <f aca="false">IF(E40="", 0, F40*E40)</f>
        <v>0</v>
      </c>
      <c r="I40" s="63"/>
      <c r="J40" s="63"/>
      <c r="K40" s="63"/>
      <c r="L40" s="63"/>
      <c r="M40" s="63"/>
      <c r="N40" s="53"/>
    </row>
    <row r="41" customFormat="false" ht="17.25" hidden="false" customHeight="true" outlineLevel="0" collapsed="false">
      <c r="A41" s="54" t="s">
        <v>46</v>
      </c>
      <c r="B41" s="54"/>
      <c r="C41" s="55"/>
      <c r="D41" s="56" t="s">
        <v>47</v>
      </c>
      <c r="E41" s="56" t="n">
        <v>0</v>
      </c>
      <c r="F41" s="57" t="n">
        <v>45</v>
      </c>
      <c r="G41" s="57" t="n">
        <f aca="false">IF(E41="", 0, F41*E41)</f>
        <v>0</v>
      </c>
      <c r="I41" s="63"/>
      <c r="J41" s="63"/>
      <c r="K41" s="63"/>
      <c r="L41" s="63"/>
      <c r="M41" s="63"/>
      <c r="N41" s="61"/>
    </row>
    <row r="42" customFormat="false" ht="17.25" hidden="false" customHeight="true" outlineLevel="0" collapsed="false">
      <c r="A42" s="59" t="s">
        <v>48</v>
      </c>
      <c r="B42" s="59"/>
      <c r="C42" s="60"/>
      <c r="D42" s="61" t="s">
        <v>47</v>
      </c>
      <c r="E42" s="61" t="n">
        <v>1</v>
      </c>
      <c r="F42" s="62" t="n">
        <v>30</v>
      </c>
      <c r="G42" s="62" t="n">
        <f aca="false">IF(E42="", 0, F42*E42)</f>
        <v>30</v>
      </c>
    </row>
    <row r="43" customFormat="false" ht="17.25" hidden="false" customHeight="true" outlineLevel="0" collapsed="false">
      <c r="A43" s="54"/>
      <c r="B43" s="54"/>
      <c r="C43" s="55"/>
      <c r="D43" s="56"/>
      <c r="E43" s="56" t="n">
        <v>0</v>
      </c>
      <c r="F43" s="57" t="n">
        <v>0</v>
      </c>
      <c r="G43" s="57" t="n">
        <f aca="false">IF(E43="", 0, F43*E43)</f>
        <v>0</v>
      </c>
    </row>
    <row r="44" customFormat="false" ht="17.25" hidden="false" customHeight="true" outlineLevel="0" collapsed="false">
      <c r="A44" s="59"/>
      <c r="B44" s="59"/>
      <c r="C44" s="60"/>
      <c r="D44" s="61"/>
      <c r="E44" s="61" t="n">
        <v>0</v>
      </c>
      <c r="F44" s="62" t="n">
        <v>0</v>
      </c>
      <c r="G44" s="62" t="n">
        <f aca="false">IF(E44="", 0, F44*E44)</f>
        <v>0</v>
      </c>
    </row>
    <row r="45" customFormat="false" ht="17.25" hidden="false" customHeight="true" outlineLevel="0" collapsed="false">
      <c r="A45" s="54"/>
      <c r="B45" s="54"/>
      <c r="C45" s="55"/>
      <c r="D45" s="56"/>
      <c r="E45" s="56" t="n">
        <v>0</v>
      </c>
      <c r="F45" s="57" t="n">
        <v>0</v>
      </c>
      <c r="G45" s="57" t="n">
        <f aca="false">IF(E45="", 0, F45*E45)</f>
        <v>0</v>
      </c>
    </row>
    <row r="46" customFormat="false" ht="17.25" hidden="false" customHeight="true" outlineLevel="0" collapsed="false">
      <c r="A46" s="59"/>
      <c r="B46" s="59"/>
      <c r="C46" s="60"/>
      <c r="D46" s="61"/>
      <c r="E46" s="61" t="n">
        <v>0</v>
      </c>
      <c r="F46" s="62" t="n">
        <v>0</v>
      </c>
      <c r="G46" s="62" t="n">
        <f aca="false">IF(E46="", 0, F46*E46)</f>
        <v>0</v>
      </c>
    </row>
    <row r="47" customFormat="false" ht="17.25" hidden="false" customHeight="true" outlineLevel="0" collapsed="false">
      <c r="A47" s="54"/>
      <c r="B47" s="54"/>
      <c r="C47" s="55"/>
      <c r="D47" s="56"/>
      <c r="E47" s="56" t="n">
        <v>0</v>
      </c>
      <c r="F47" s="57" t="n">
        <v>0</v>
      </c>
      <c r="G47" s="57" t="n">
        <f aca="false">IF(E47="", 0, F47*E47)</f>
        <v>0</v>
      </c>
    </row>
    <row r="48" customFormat="false" ht="17.25" hidden="false" customHeight="true" outlineLevel="0" collapsed="false">
      <c r="A48" s="59"/>
      <c r="B48" s="59"/>
      <c r="C48" s="60"/>
      <c r="D48" s="61"/>
      <c r="E48" s="61" t="n">
        <v>0</v>
      </c>
      <c r="F48" s="62" t="n">
        <v>0</v>
      </c>
      <c r="G48" s="62" t="n">
        <f aca="false">IF(E48="", 0, F48*E48)</f>
        <v>0</v>
      </c>
    </row>
    <row r="49" customFormat="false" ht="17.25" hidden="false" customHeight="true" outlineLevel="0" collapsed="false">
      <c r="A49" s="54"/>
      <c r="B49" s="54"/>
      <c r="C49" s="55"/>
      <c r="D49" s="56"/>
      <c r="E49" s="56" t="n">
        <v>0</v>
      </c>
      <c r="F49" s="57" t="n">
        <v>0</v>
      </c>
      <c r="G49" s="57" t="n">
        <f aca="false">IF(E49="", 0, F49*E49)</f>
        <v>0</v>
      </c>
    </row>
    <row r="50" customFormat="false" ht="17.25" hidden="false" customHeight="true" outlineLevel="0" collapsed="false">
      <c r="A50" s="59"/>
      <c r="B50" s="59"/>
      <c r="C50" s="60"/>
      <c r="D50" s="61"/>
      <c r="E50" s="61" t="n">
        <v>0</v>
      </c>
      <c r="F50" s="62" t="n">
        <v>0</v>
      </c>
      <c r="G50" s="62" t="n">
        <f aca="false">IF(E50="", 0, F50*E50)</f>
        <v>0</v>
      </c>
    </row>
    <row r="51" customFormat="false" ht="9.75" hidden="false" customHeight="true" outlineLevel="0" collapsed="false">
      <c r="A51" s="8"/>
      <c r="B51" s="8"/>
      <c r="C51" s="68"/>
      <c r="D51" s="69"/>
      <c r="E51" s="69"/>
      <c r="F51" s="69"/>
      <c r="G51" s="69"/>
    </row>
    <row r="52" customFormat="false" ht="15.75" hidden="false" customHeight="true" outlineLevel="0" collapsed="false">
      <c r="A52" s="8"/>
      <c r="C52" s="70" t="s">
        <v>49</v>
      </c>
      <c r="D52" s="69"/>
      <c r="E52" s="71"/>
      <c r="F52" s="71"/>
      <c r="G52" s="72" t="n">
        <f aca="false">G31+G32+G33+G34+G35+G37+G38+G39+G41+G42+G40</f>
        <v>120</v>
      </c>
      <c r="J52" s="53"/>
    </row>
    <row r="53" customFormat="false" ht="15" hidden="false" customHeight="false" outlineLevel="0" collapsed="false">
      <c r="A53" s="8"/>
      <c r="C53" s="70" t="s">
        <v>50</v>
      </c>
      <c r="D53" s="69"/>
      <c r="E53" s="71"/>
      <c r="F53" s="71"/>
      <c r="G53" s="72" t="n">
        <f aca="false">G52*19%</f>
        <v>22.8</v>
      </c>
      <c r="J53" s="53"/>
      <c r="M53" s="73"/>
    </row>
    <row r="54" customFormat="false" ht="15" hidden="false" customHeight="false" outlineLevel="0" collapsed="false">
      <c r="C54" s="1" t="s">
        <v>51</v>
      </c>
      <c r="E54" s="74"/>
      <c r="F54" s="74"/>
      <c r="G54" s="75" t="n">
        <f aca="false">G52+G53</f>
        <v>142.8</v>
      </c>
      <c r="J54" s="53"/>
      <c r="M54" s="73"/>
    </row>
    <row r="55" customFormat="false" ht="15" hidden="false" customHeight="false" outlineLevel="0" collapsed="false">
      <c r="J55" s="53"/>
      <c r="M55" s="73"/>
    </row>
    <row r="56" customFormat="false" ht="15" hidden="false" customHeight="true" outlineLevel="0" collapsed="false">
      <c r="A56" s="47"/>
      <c r="B56" s="47"/>
      <c r="C56" s="47"/>
      <c r="D56" s="47"/>
      <c r="E56" s="47"/>
      <c r="F56" s="47"/>
      <c r="G56" s="47"/>
      <c r="J56" s="53"/>
      <c r="M56" s="73"/>
    </row>
    <row r="57" customFormat="false" ht="33.75" hidden="false" customHeight="true" outlineLevel="0" collapsed="false">
      <c r="A57" s="47"/>
      <c r="B57" s="47"/>
      <c r="C57" s="47"/>
      <c r="D57" s="47"/>
      <c r="E57" s="47"/>
      <c r="F57" s="47"/>
      <c r="G57" s="47"/>
      <c r="J57" s="53"/>
      <c r="M57" s="73"/>
    </row>
    <row r="58" customFormat="false" ht="15" hidden="false" customHeight="false" outlineLevel="0" collapsed="false">
      <c r="A58" s="47"/>
      <c r="B58" s="47"/>
      <c r="C58" s="47"/>
      <c r="D58" s="47"/>
      <c r="E58" s="47"/>
      <c r="F58" s="47"/>
      <c r="G58" s="47"/>
      <c r="J58" s="76"/>
      <c r="M58" s="77"/>
    </row>
    <row r="59" customFormat="false" ht="15" hidden="false" customHeight="false" outlineLevel="0" collapsed="false">
      <c r="A59" s="47"/>
      <c r="B59" s="47"/>
      <c r="C59" s="47"/>
      <c r="D59" s="47"/>
      <c r="E59" s="47"/>
      <c r="F59" s="47"/>
      <c r="G59" s="47"/>
      <c r="J59" s="53"/>
      <c r="M59" s="77"/>
    </row>
    <row r="60" customFormat="false" ht="15" hidden="false" customHeight="false" outlineLevel="0" collapsed="false">
      <c r="A60" s="47"/>
      <c r="B60" s="47"/>
      <c r="C60" s="47"/>
      <c r="D60" s="47"/>
      <c r="E60" s="47"/>
      <c r="F60" s="47"/>
      <c r="G60" s="47"/>
    </row>
    <row r="61" customFormat="false" ht="15" hidden="false" customHeight="false" outlineLevel="0" collapsed="false">
      <c r="A61" s="47"/>
      <c r="B61" s="47"/>
      <c r="C61" s="47"/>
      <c r="D61" s="47"/>
      <c r="E61" s="47"/>
      <c r="F61" s="47"/>
      <c r="G61" s="47"/>
    </row>
    <row r="62" customFormat="false" ht="2.25" hidden="false" customHeight="true" outlineLevel="0" collapsed="false">
      <c r="A62" s="47"/>
      <c r="B62" s="47"/>
      <c r="C62" s="47"/>
      <c r="D62" s="47"/>
      <c r="E62" s="47"/>
      <c r="F62" s="47"/>
      <c r="G62" s="47"/>
    </row>
    <row r="63" customFormat="false" ht="15" hidden="false" customHeight="false" outlineLevel="0" collapsed="false">
      <c r="A63" s="47"/>
      <c r="B63" s="47"/>
      <c r="C63" s="47"/>
      <c r="D63" s="47"/>
      <c r="E63" s="47"/>
      <c r="F63" s="47"/>
      <c r="G63" s="47"/>
      <c r="J63" s="78"/>
    </row>
    <row r="64" customFormat="false" ht="15" hidden="false" customHeight="false" outlineLevel="0" collapsed="false">
      <c r="A64" s="47"/>
      <c r="B64" s="47"/>
      <c r="C64" s="47"/>
      <c r="D64" s="47"/>
      <c r="E64" s="47"/>
      <c r="F64" s="47"/>
      <c r="G64" s="47"/>
    </row>
  </sheetData>
  <mergeCells count="46">
    <mergeCell ref="A3:E3"/>
    <mergeCell ref="A5:B5"/>
    <mergeCell ref="A6:B6"/>
    <mergeCell ref="I15:J15"/>
    <mergeCell ref="A16:E16"/>
    <mergeCell ref="I16:J16"/>
    <mergeCell ref="B17:C17"/>
    <mergeCell ref="I17:J17"/>
    <mergeCell ref="I18:J18"/>
    <mergeCell ref="A20:C20"/>
    <mergeCell ref="I20:J20"/>
    <mergeCell ref="I21:J21"/>
    <mergeCell ref="I22:J22"/>
    <mergeCell ref="I23:J23"/>
    <mergeCell ref="I24:J24"/>
    <mergeCell ref="A25:B25"/>
    <mergeCell ref="I25:J25"/>
    <mergeCell ref="A26:B26"/>
    <mergeCell ref="F26:G26"/>
    <mergeCell ref="A27:B27"/>
    <mergeCell ref="I28:M30"/>
    <mergeCell ref="A29:G29"/>
    <mergeCell ref="A30:B30"/>
    <mergeCell ref="A31:B31"/>
    <mergeCell ref="A32:B32"/>
    <mergeCell ref="I32:M49"/>
    <mergeCell ref="A33:B33"/>
    <mergeCell ref="A35:B35"/>
    <mergeCell ref="A37:B37"/>
    <mergeCell ref="A38:B38"/>
    <mergeCell ref="A39:B39"/>
    <mergeCell ref="A41:B41"/>
    <mergeCell ref="A42:B42"/>
    <mergeCell ref="A56:G57"/>
    <mergeCell ref="A58:G64"/>
    <mergeCell ref="A34:B34"/>
    <mergeCell ref="A36:B36"/>
    <mergeCell ref="A40:B40"/>
    <mergeCell ref="A43:B43"/>
    <mergeCell ref="A44:B44"/>
    <mergeCell ref="A45:B45"/>
    <mergeCell ref="A46:B46"/>
    <mergeCell ref="A47:B47"/>
    <mergeCell ref="A48:B48"/>
    <mergeCell ref="A49:B49"/>
    <mergeCell ref="A50:B50"/>
  </mergeCells>
  <hyperlinks>
    <hyperlink ref="E18" r:id="rId1" display="E-Mail: "/>
    <hyperlink ref="F18" r:id="rId2" display="delphinchris007@web.de"/>
  </hyperlink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>&amp;L&amp;8Aust Umzüge Haushaltsauflösungen
Ehrlicherstraße 38
31135 Hildesheim &amp;C&amp;8Sparkasse Hildeshiem Goslar Peine
IBAN: DE67 2595 0130 0057 4537 49
BIC: NOLADE21HIK&amp;R&amp;8 St.Nr.: 30/101/22146 
USt-IdNr.: DE330779170</oddFooter>
  </headerFooter>
  <rowBreaks count="1" manualBreakCount="1">
    <brk id="69" man="true" max="16383" min="0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2021-11-09T16:14:03Z</dcterms:created>
  <dc:creator>Windows7</dc:creator>
  <dc:description/>
  <dc:language>en-US</dc:language>
  <cp:lastModifiedBy/>
  <cp:lastPrinted>2026-02-24T09:22:30Z</cp:lastPrinted>
  <dcterms:modified xsi:type="dcterms:W3CDTF">2026-02-25T14:30:09Z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