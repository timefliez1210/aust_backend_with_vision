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<sst xmlns="http://schemas.openxmlformats.org/spreadsheetml/2006/main" count="56" uniqueCount="52">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</sst>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  <numFmt numFmtId="172" formatCode="#,##0.00&quot; €/Stunde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  <xf numFmtId="171" fontId="0" fillId="3" borderId="0" xfId="0" applyNumberFormat="true" applyFill="true" applyBorder="true" applyAlignment="true">
      <alignment horizontal="right" vertical="center"/>
    </xf>
    <xf numFmtId="171" fontId="0" fillId="4" borderId="0" xfId="0" applyNumberFormat="true" applyFill="true" applyBorder="true" applyAlignment="true">
      <alignment horizontal="right" vertical="center"/>
    </xf>
    <xf numFmtId="172" fontId="0" fillId="3" borderId="0" xfId="0" applyNumberFormat="true" applyFill="true" applyBorder="true" applyAlignment="true">
      <alignment horizontal="center" vertical="center"/>
    </xf>
    <xf numFmtId="172" fontId="0" fillId="4" borderId="0" xfId="0" applyNumberFormat="true" applyFill="true" applyBorder="true" applyAlignment="true">
      <alignment horizontal="center" vertical="center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925056</xdr:colOff>
      <xdr:row>8</xdr:row>
      <xdr:rowOff>79560</xdr:rowOff>
    </xdr:from>
    <xdr:to>
      <xdr:col>7</xdr:col>
      <xdr:colOff>832176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                                   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___________________________________________________________________________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oneCellAnchor>
    <xdr:from>
      <xdr:col>5</xdr:col>
      <xdr:colOff>638266</xdr:colOff>
      <xdr:row>0</xdr:row>
      <xdr:rowOff>169284</xdr:rowOff>
    </xdr:from>
    <xdr:ext cx="2500000" cy="1653578"/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500000" cy="1653578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 t="inlineStr">
        <is>
          <t>Aust Umzüge und Haushaltsauflösungen</t>
        </is>
      </c>
      <c r="B2" s="2"/>
      <c r="C2" s="2"/>
      <c r="D2" s="2"/>
      <c r="E2" s="2"/>
      <c r="F2" s="3"/>
    </row>
    <row r="3" customFormat="false" ht="17.35" hidden="false" customHeight="false" outlineLevel="0" collapsed="false">
      <c r="A3" s="4" t="inlineStr">
        <is>
          <t>Ihr Umzug in besten Händen bei Aust!</t>
        </is>
      </c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F38*E38*J58)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17.25" hidden="false" customHeight="true" outlineLevel="0" collapsed="false">
      <c r="A43" s="54"/>
      <c r="B43" s="54"/>
      <c r="C43" s="55"/>
      <c r="D43" s="56"/>
      <c r="E43" s="56" t="n">
        <v>0</v>
      </c>
      <c r="F43" s="57" t="n">
        <v>0</v>
      </c>
      <c r="G43" s="57" t="n">
        <f aca="false">IF(E43="", 0, F43*E43)</f>
        <v>0</v>
      </c>
    </row>
    <row r="44" customFormat="false" ht="17.25" hidden="false" customHeight="true" outlineLevel="0" collapsed="false">
      <c r="A44" s="59"/>
      <c r="B44" s="59"/>
      <c r="C44" s="60"/>
      <c r="D44" s="61"/>
      <c r="E44" s="61" t="n">
        <v>0</v>
      </c>
      <c r="F44" s="62" t="n">
        <v>0</v>
      </c>
      <c r="G44" s="62" t="n">
        <f aca="false">IF(E44="", 0, F44*E44)</f>
        <v>0</v>
      </c>
    </row>
    <row r="45" customFormat="false" ht="17.25" hidden="false" customHeight="true" outlineLevel="0" collapsed="false">
      <c r="A45" s="54"/>
      <c r="B45" s="54"/>
      <c r="C45" s="55"/>
      <c r="D45" s="56"/>
      <c r="E45" s="56" t="n">
        <v>0</v>
      </c>
      <c r="F45" s="57" t="n">
        <v>0</v>
      </c>
      <c r="G45" s="57" t="n">
        <f aca="false">IF(E45="", 0, F45*E45)</f>
        <v>0</v>
      </c>
    </row>
    <row r="46" customFormat="false" ht="17.25" hidden="false" customHeight="true" outlineLevel="0" collapsed="false">
      <c r="A46" s="59"/>
      <c r="B46" s="59"/>
      <c r="C46" s="60"/>
      <c r="D46" s="61"/>
      <c r="E46" s="61" t="n">
        <v>0</v>
      </c>
      <c r="F46" s="62" t="n">
        <v>0</v>
      </c>
      <c r="G46" s="62" t="n">
        <f aca="false">IF(E46="", 0, F46*E46)</f>
        <v>0</v>
      </c>
    </row>
    <row r="47" customFormat="false" ht="17.25" hidden="false" customHeight="true" outlineLevel="0" collapsed="false">
      <c r="A47" s="54"/>
      <c r="B47" s="54"/>
      <c r="C47" s="55"/>
      <c r="D47" s="56"/>
      <c r="E47" s="56" t="n">
        <v>0</v>
      </c>
      <c r="F47" s="57" t="n">
        <v>0</v>
      </c>
      <c r="G47" s="57" t="n">
        <f aca="false">IF(E47="", 0, F47*E47)</f>
        <v>0</v>
      </c>
    </row>
    <row r="48" customFormat="false" ht="17.25" hidden="false" customHeight="true" outlineLevel="0" collapsed="false">
      <c r="A48" s="59"/>
      <c r="B48" s="59"/>
      <c r="C48" s="60"/>
      <c r="D48" s="61"/>
      <c r="E48" s="61" t="n">
        <v>0</v>
      </c>
      <c r="F48" s="62" t="n">
        <v>0</v>
      </c>
      <c r="G48" s="62" t="n">
        <f aca="false">IF(E48="", 0, F48*E48)</f>
        <v>0</v>
      </c>
    </row>
    <row r="49" customFormat="false" ht="17.25" hidden="false" customHeight="true" outlineLevel="0" collapsed="false">
      <c r="A49" s="54"/>
      <c r="B49" s="54"/>
      <c r="C49" s="55"/>
      <c r="D49" s="56"/>
      <c r="E49" s="56" t="n">
        <v>0</v>
      </c>
      <c r="F49" s="57" t="n">
        <v>0</v>
      </c>
      <c r="G49" s="57" t="n">
        <f aca="false">IF(E49="", 0, F49*E49)</f>
        <v>0</v>
      </c>
    </row>
    <row r="50" customFormat="false" ht="17.25" hidden="false" customHeight="true" outlineLevel="0" collapsed="false">
      <c r="A50" s="59"/>
      <c r="B50" s="59"/>
      <c r="C50" s="60"/>
      <c r="D50" s="61"/>
      <c r="E50" s="61" t="n">
        <v>0</v>
      </c>
      <c r="F50" s="62" t="n">
        <v>0</v>
      </c>
      <c r="G50" s="62" t="n">
        <f aca="false">IF(E50="", 0, F50*E50)</f>
        <v>0</v>
      </c>
    </row>
    <row r="51" customFormat="false" ht="9.75" hidden="false" customHeight="true" outlineLevel="0" collapsed="false">
      <c r="A51" s="8"/>
      <c r="B51" s="8"/>
      <c r="C51" s="68"/>
      <c r="D51" s="69"/>
      <c r="E51" s="69"/>
      <c r="F51" s="69"/>
      <c r="G51" s="69"/>
    </row>
    <row r="52" customFormat="false" ht="15.75" hidden="false" customHeight="true" outlineLevel="0" collapsed="false">
      <c r="A52" s="8"/>
      <c r="C52" s="70" t="s">
        <v>49</v>
      </c>
      <c r="D52" s="69"/>
      <c r="E52" s="71"/>
      <c r="F52" s="71"/>
      <c r="G52" s="72" t="n">
        <f aca="false">G31+G32+G33+G34+G35+G37+G38+G39+G41+G42+G40</f>
        <v>120</v>
      </c>
      <c r="J52" s="53"/>
    </row>
    <row r="53" customFormat="false" ht="15" hidden="false" customHeight="false" outlineLevel="0" collapsed="false">
      <c r="A53" s="8"/>
      <c r="C53" s="70" t="s">
        <v>50</v>
      </c>
      <c r="D53" s="69"/>
      <c r="E53" s="71"/>
      <c r="F53" s="71"/>
      <c r="G53" s="72" t="n">
        <f aca="false">G52*19%</f>
        <v>22.8</v>
      </c>
      <c r="J53" s="53"/>
      <c r="M53" s="73"/>
    </row>
    <row r="54" customFormat="false" ht="15" hidden="false" customHeight="false" outlineLevel="0" collapsed="false">
      <c r="C54" s="1" t="s">
        <v>51</v>
      </c>
      <c r="E54" s="74"/>
      <c r="F54" s="74"/>
      <c r="G54" s="75" t="n">
        <f aca="false">G52+G53</f>
        <v>142.8</v>
      </c>
      <c r="J54" s="53"/>
      <c r="M54" s="73"/>
    </row>
    <row r="55" customFormat="false" ht="15" hidden="false" customHeight="false" outlineLevel="0" collapsed="false">
      <c r="J55" s="53"/>
      <c r="M55" s="73"/>
    </row>
    <row r="56" customFormat="false" ht="15" hidden="false" customHeight="true" outlineLevel="0" collapsed="false">
      <c r="A56" s="47"/>
      <c r="B56" s="47"/>
      <c r="C56" s="47"/>
      <c r="D56" s="47"/>
      <c r="E56" s="47"/>
      <c r="F56" s="47"/>
      <c r="G56" s="47"/>
      <c r="J56" s="53"/>
      <c r="M56" s="73"/>
    </row>
    <row r="57" customFormat="false" ht="33.75" hidden="false" customHeight="true" outlineLevel="0" collapsed="false">
      <c r="A57" s="47"/>
      <c r="B57" s="47"/>
      <c r="C57" s="47"/>
      <c r="D57" s="47"/>
      <c r="E57" s="47"/>
      <c r="F57" s="47"/>
      <c r="G57" s="47"/>
      <c r="J57" s="53"/>
      <c r="M57" s="73"/>
    </row>
    <row r="58" customFormat="false" ht="15" hidden="false" customHeight="false" outlineLevel="0" collapsed="false">
      <c r="A58" s="47"/>
      <c r="B58" s="47"/>
      <c r="C58" s="47"/>
      <c r="D58" s="47"/>
      <c r="E58" s="47"/>
      <c r="F58" s="47"/>
      <c r="G58" s="47"/>
      <c r="J58" s="76"/>
      <c r="M58" s="77"/>
    </row>
    <row r="59" customFormat="false" ht="15" hidden="false" customHeight="false" outlineLevel="0" collapsed="false">
      <c r="A59" s="47"/>
      <c r="B59" s="47"/>
      <c r="C59" s="47"/>
      <c r="D59" s="47"/>
      <c r="E59" s="47"/>
      <c r="F59" s="47"/>
      <c r="G59" s="47"/>
      <c r="J59" s="53"/>
      <c r="M59" s="77"/>
    </row>
    <row r="60" customFormat="false" ht="15" hidden="false" customHeight="false" outlineLevel="0" collapsed="false">
      <c r="A60" s="47"/>
      <c r="B60" s="47"/>
      <c r="C60" s="47"/>
      <c r="D60" s="47"/>
      <c r="E60" s="47"/>
      <c r="F60" s="47"/>
      <c r="G60" s="47"/>
    </row>
    <row r="61" customFormat="false" ht="15" hidden="false" customHeight="false" outlineLevel="0" collapsed="false">
      <c r="A61" s="47"/>
      <c r="B61" s="47"/>
      <c r="C61" s="47"/>
      <c r="D61" s="47"/>
      <c r="E61" s="47"/>
      <c r="F61" s="47"/>
      <c r="G61" s="47"/>
    </row>
    <row r="62" customFormat="false" ht="2.25" hidden="false" customHeight="true" outlineLevel="0" collapsed="false">
      <c r="A62" s="47"/>
      <c r="B62" s="47"/>
      <c r="C62" s="47"/>
      <c r="D62" s="47"/>
      <c r="E62" s="47"/>
      <c r="F62" s="47"/>
      <c r="G62" s="47"/>
    </row>
    <row r="63" customFormat="false" ht="15" hidden="false" customHeight="false" outlineLevel="0" collapsed="false">
      <c r="A63" s="47"/>
      <c r="B63" s="47"/>
      <c r="C63" s="47"/>
      <c r="D63" s="47"/>
      <c r="E63" s="47"/>
      <c r="F63" s="47"/>
      <c r="G63" s="47"/>
      <c r="J63" s="78"/>
    </row>
    <row r="64" customFormat="false" ht="15" hidden="false" customHeight="false" outlineLevel="0" collapsed="false">
      <c r="A64" s="47"/>
      <c r="B64" s="47"/>
      <c r="C64" s="47"/>
      <c r="D64" s="47"/>
      <c r="E64" s="47"/>
      <c r="F64" s="47"/>
      <c r="G64" s="47"/>
    </row>
  </sheetData>
  <mergeCells count="46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9"/>
    <mergeCell ref="A33:B33"/>
    <mergeCell ref="A35:B35"/>
    <mergeCell ref="A37:B37"/>
    <mergeCell ref="A38:B38"/>
    <mergeCell ref="A39:B39"/>
    <mergeCell ref="A41:B41"/>
    <mergeCell ref="A42:B42"/>
    <mergeCell ref="A56:G57"/>
    <mergeCell ref="A58:G64"/>
    <mergeCell ref="A34:B34"/>
    <mergeCell ref="A36:B36"/>
    <mergeCell ref="A40:B40"/>
    <mergeCell ref="A43:B43"/>
    <mergeCell ref="A44:B44"/>
    <mergeCell ref="A45:B45"/>
    <mergeCell ref="A46:B46"/>
    <mergeCell ref="A47:B47"/>
    <mergeCell ref="A48:B48"/>
    <mergeCell ref="A49:B49"/>
    <mergeCell ref="A50:B5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