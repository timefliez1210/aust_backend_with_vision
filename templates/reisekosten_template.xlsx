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be9e13ac9897c33/Sonstiges/Montagen/"/>
    </mc:Choice>
  </mc:AlternateContent>
  <xr:revisionPtr revIDLastSave="920" documentId="8_{5F409E92-1BAF-421C-B475-E80D3E40138B}" xr6:coauthVersionLast="47" xr6:coauthVersionMax="47" xr10:uidLastSave="{31359849-49F6-485D-BCC0-BC7A50AD7B3B}"/>
  <bookViews>
    <workbookView xWindow="29760" yWindow="0" windowWidth="21840" windowHeight="21000" activeTab="5" xr2:uid="{00000000-000D-0000-FFFF-FFFF00000000}"/>
  </bookViews>
  <sheets>
    <sheet name="Domenko" sheetId="5" r:id="rId1"/>
    <sheet name="Kukulevskyi" sheetId="3" r:id="rId2"/>
    <sheet name="Vladmann" sheetId="6" r:id="rId3"/>
    <sheet name="Yerantsev" sheetId="9" r:id="rId4"/>
    <sheet name="Ekaterina.Aust" sheetId="8" r:id="rId5"/>
    <sheet name="Aust" sheetId="12" r:id="rId6"/>
    <sheet name="Scharf" sheetId="10" r:id="rId7"/>
    <sheet name="Tabelle1" sheetId="4" r:id="rId8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12" l="1"/>
  <c r="D34" i="10"/>
  <c r="D34" i="9"/>
  <c r="D34" i="8"/>
  <c r="D34" i="6"/>
  <c r="D34" i="5"/>
  <c r="D34" i="3"/>
</calcChain>
</file>

<file path=xl/sharedStrings.xml><?xml version="1.0" encoding="utf-8"?>
<sst xmlns="http://schemas.openxmlformats.org/spreadsheetml/2006/main" count="273" uniqueCount="62">
  <si>
    <t>Aust Umzüge &amp; Haushaltsauflösungen</t>
  </si>
  <si>
    <t>Ehrlicherstr. 38</t>
  </si>
  <si>
    <t>31135 Hildesheim</t>
  </si>
  <si>
    <t>Reisekostenabrechnung</t>
  </si>
  <si>
    <t>Mitarbeiterdaten</t>
  </si>
  <si>
    <t>Vorname</t>
  </si>
  <si>
    <t>Serhii</t>
  </si>
  <si>
    <t>Name</t>
  </si>
  <si>
    <t>Kukulevskyi</t>
  </si>
  <si>
    <t>Personalnummer</t>
  </si>
  <si>
    <t>Abteilung</t>
  </si>
  <si>
    <t>Umzug</t>
  </si>
  <si>
    <t>Reisedaten</t>
  </si>
  <si>
    <t>Reisebeginn</t>
  </si>
  <si>
    <t>Uhrzeit</t>
  </si>
  <si>
    <t>Reiseende</t>
  </si>
  <si>
    <t>Reiseziel</t>
  </si>
  <si>
    <t>Grund der Reise</t>
  </si>
  <si>
    <t>Luttert Montage</t>
  </si>
  <si>
    <t>Verkehrsmittel</t>
  </si>
  <si>
    <t>[ ] PKW [ ] Bahn [ ] Flugzeug [ ] Taxi [ ] Sonstiges:</t>
  </si>
  <si>
    <t>Kosten</t>
  </si>
  <si>
    <t>Fahrtkosten</t>
  </si>
  <si>
    <t xml:space="preserve">Verpf.pauschale (klein)
</t>
  </si>
  <si>
    <t>Tage</t>
  </si>
  <si>
    <t>pro Tag</t>
  </si>
  <si>
    <t xml:space="preserve">Verpf.pauschale (groß)
</t>
  </si>
  <si>
    <r>
      <t>Abzüge</t>
    </r>
    <r>
      <rPr>
        <sz val="9"/>
        <color rgb="FF000000"/>
        <rFont val="Arial"/>
        <family val="2"/>
      </rPr>
      <t xml:space="preserve"> für Frühstück (20%)</t>
    </r>
  </si>
  <si>
    <t>Mittag- oder Abendessen (40%)</t>
  </si>
  <si>
    <t>Übernachtungskosten</t>
  </si>
  <si>
    <t>Reisenebenkosten</t>
  </si>
  <si>
    <t>Kosten gesamt:</t>
  </si>
  <si>
    <t>Ort, Datum und Unterschrift
Antragsteller</t>
  </si>
  <si>
    <t>Ort, Datum und Unterschrift Vorgesetzter</t>
  </si>
  <si>
    <t>Anatoliy</t>
  </si>
  <si>
    <t>Domenko</t>
  </si>
  <si>
    <t xml:space="preserve">Eduard </t>
  </si>
  <si>
    <t>Scharf</t>
  </si>
  <si>
    <t xml:space="preserve">Vladislav </t>
  </si>
  <si>
    <t>Yerantsev</t>
  </si>
  <si>
    <t>Alex</t>
  </si>
  <si>
    <t>Aust</t>
  </si>
  <si>
    <t>Hildesheim,16.05.2025</t>
  </si>
  <si>
    <t>Ingolstadt</t>
  </si>
  <si>
    <t>Montage Luttert</t>
  </si>
  <si>
    <t>Hildesheim - Hamburg</t>
  </si>
  <si>
    <t>Hildesheim, 24.06.2025</t>
  </si>
  <si>
    <t>Ekaterina</t>
  </si>
  <si>
    <t>Rückgabe Golf GTI (Leasingende)</t>
  </si>
  <si>
    <t>[ x] PKW [x ] Bahn [ ] Flugzeug [x ] Taxi [ ] Sonstiges:</t>
  </si>
  <si>
    <t>Büro</t>
  </si>
  <si>
    <t>München- Mahag Automobile</t>
  </si>
  <si>
    <t>Hildesheim,01.11.2025</t>
  </si>
  <si>
    <t xml:space="preserve">Yevhen </t>
  </si>
  <si>
    <t>Kravchenko</t>
  </si>
  <si>
    <t>Hamburg</t>
  </si>
  <si>
    <t>Hildesheim, 31.01.2025</t>
  </si>
  <si>
    <t>Hildesheim,01.04.2026</t>
  </si>
  <si>
    <t>Hildesheim,10.04.2026</t>
  </si>
  <si>
    <t>Essen Museum</t>
  </si>
  <si>
    <t>Ruselheim- Bad Nauenahr</t>
  </si>
  <si>
    <t>Hildesheim, 10.04.2026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</si>
</sst>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6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name val="Calibri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9"/>
      <color rgb="FF999999"/>
      <name val="Calibri"/>
      <family val="2"/>
    </font>
    <font>
      <u/>
      <sz val="9"/>
      <color theme="9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14" fontId="1" fillId="0" borderId="0" xfId="0" applyNumberFormat="1" applyFont="1"/>
    <xf numFmtId="14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64" fontId="7" fillId="0" borderId="0" xfId="0" applyNumberFormat="1" applyFont="1"/>
    <xf numFmtId="164" fontId="7" fillId="0" borderId="1" xfId="0" applyNumberFormat="1" applyFont="1" applyBorder="1"/>
    <xf numFmtId="0" fontId="7" fillId="0" borderId="0" xfId="0" applyFont="1"/>
    <xf numFmtId="0" fontId="4" fillId="0" borderId="0" xfId="0" applyFont="1" applyAlignment="1">
      <alignment horizontal="left" wrapText="1"/>
    </xf>
    <xf numFmtId="0" fontId="9" fillId="0" borderId="1" xfId="0" applyFont="1" applyBorder="1"/>
    <xf numFmtId="0" fontId="13" fillId="0" borderId="0" xfId="0" applyFont="1"/>
    <xf numFmtId="0" fontId="14" fillId="0" borderId="0" xfId="1" applyFont="1" applyAlignment="1"/>
    <xf numFmtId="164" fontId="8" fillId="0" borderId="0" xfId="0" applyNumberFormat="1" applyFont="1"/>
    <xf numFmtId="164" fontId="7" fillId="0" borderId="5" xfId="0" applyNumberFormat="1" applyFont="1" applyBorder="1"/>
    <xf numFmtId="0" fontId="8" fillId="0" borderId="5" xfId="0" applyFont="1" applyBorder="1"/>
    <xf numFmtId="14" fontId="7" fillId="0" borderId="1" xfId="0" applyNumberFormat="1" applyFont="1" applyBorder="1" applyAlignment="1">
      <alignment horizontal="left" vertical="top" wrapText="1"/>
    </xf>
    <xf numFmtId="20" fontId="7" fillId="0" borderId="1" xfId="0" applyNumberFormat="1" applyFont="1" applyBorder="1" applyAlignment="1">
      <alignment horizontal="left" vertical="top" wrapText="1"/>
    </xf>
    <xf numFmtId="14" fontId="7" fillId="0" borderId="2" xfId="0" applyNumberFormat="1" applyFont="1" applyBorder="1" applyAlignment="1">
      <alignment horizontal="left" vertical="top" wrapText="1"/>
    </xf>
    <xf numFmtId="20" fontId="7" fillId="0" borderId="2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4" fontId="7" fillId="0" borderId="1" xfId="0" applyNumberFormat="1" applyFont="1" applyBorder="1"/>
    <xf numFmtId="0" fontId="9" fillId="0" borderId="1" xfId="0" applyFont="1" applyBorder="1"/>
    <xf numFmtId="0" fontId="8" fillId="0" borderId="1" xfId="0" applyFont="1" applyBorder="1"/>
    <xf numFmtId="0" fontId="7" fillId="0" borderId="3" xfId="0" applyFont="1" applyBorder="1" applyAlignment="1">
      <alignment horizontal="left" wrapText="1"/>
    </xf>
    <xf numFmtId="0" fontId="9" fillId="0" borderId="3" xfId="0" applyFont="1" applyBorder="1"/>
    <xf numFmtId="164" fontId="8" fillId="0" borderId="1" xfId="0" applyNumberFormat="1" applyFont="1" applyBorder="1"/>
    <xf numFmtId="0" fontId="15" fillId="0" borderId="0" xfId="0" applyFont="1" applyAlignment="1">
      <alignment horizontal="left" vertical="top" wrapText="1"/>
    </xf>
    <xf numFmtId="164" fontId="10" fillId="0" borderId="4" xfId="0" applyNumberFormat="1" applyFont="1" applyBorder="1"/>
    <xf numFmtId="0" fontId="9" fillId="0" borderId="4" xfId="0" applyFont="1" applyBorder="1"/>
    <xf numFmtId="0" fontId="7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638176</xdr:colOff>
      <xdr:row>1</xdr:row>
      <xdr:rowOff>142875</xdr:rowOff>
    </xdr:from>
    <xdr:to>
      <xdr:col>6</xdr:col>
      <xdr:colOff>1143000</xdr:colOff>
      <xdr:row>8</xdr:row>
      <xdr:rowOff>161924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D2BC3C7-971A-40BE-943E-9BDB39AF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1" y="31432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171451</xdr:colOff>
      <xdr:row>1</xdr:row>
      <xdr:rowOff>38100</xdr:rowOff>
    </xdr:from>
    <xdr:to>
      <xdr:col>6</xdr:col>
      <xdr:colOff>1143001</xdr:colOff>
      <xdr:row>9</xdr:row>
      <xdr:rowOff>352425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8DC5B61-5AA3-4A07-BCF8-D25879B6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24276" y="209550"/>
          <a:ext cx="1685925" cy="1685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152400</xdr:rowOff>
    </xdr:from>
    <xdr:to>
      <xdr:col>6</xdr:col>
      <xdr:colOff>1143000</xdr:colOff>
      <xdr:row>9</xdr:row>
      <xdr:rowOff>295275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9A7E3E7-24BF-4D84-9C85-A1E6C707D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24275" y="152400"/>
          <a:ext cx="1685925" cy="1685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638176</xdr:colOff>
      <xdr:row>1</xdr:row>
      <xdr:rowOff>142875</xdr:rowOff>
    </xdr:from>
    <xdr:to>
      <xdr:col>6</xdr:col>
      <xdr:colOff>1143000</xdr:colOff>
      <xdr:row>8</xdr:row>
      <xdr:rowOff>161924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53ED268-0B63-4FEA-82CD-2D71874D9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1" y="31432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1</xdr:row>
      <xdr:rowOff>9525</xdr:rowOff>
    </xdr:from>
    <xdr:to>
      <xdr:col>7</xdr:col>
      <xdr:colOff>1</xdr:colOff>
      <xdr:row>9</xdr:row>
      <xdr:rowOff>323850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5298FD7-A184-4E60-9A98-3920E302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33801" y="180975"/>
          <a:ext cx="1685925" cy="1685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638176</xdr:colOff>
      <xdr:row>1</xdr:row>
      <xdr:rowOff>142875</xdr:rowOff>
    </xdr:from>
    <xdr:to>
      <xdr:col>6</xdr:col>
      <xdr:colOff>1143000</xdr:colOff>
      <xdr:row>8</xdr:row>
      <xdr:rowOff>161924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AFBC8C6-385D-49F2-A52B-45ECEE059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1" y="31432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171451</xdr:colOff>
      <xdr:row>0</xdr:row>
      <xdr:rowOff>161925</xdr:rowOff>
    </xdr:from>
    <xdr:to>
      <xdr:col>6</xdr:col>
      <xdr:colOff>1143001</xdr:colOff>
      <xdr:row>9</xdr:row>
      <xdr:rowOff>304800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B0F88D9-873F-4786-B5F8-50C10F46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24276" y="161925"/>
          <a:ext cx="1685925" cy="1685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638176</xdr:colOff>
      <xdr:row>1</xdr:row>
      <xdr:rowOff>142875</xdr:rowOff>
    </xdr:from>
    <xdr:to>
      <xdr:col>6</xdr:col>
      <xdr:colOff>1143000</xdr:colOff>
      <xdr:row>8</xdr:row>
      <xdr:rowOff>161924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C173BA2-7A92-4338-BD1E-F7C1AF1B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1" y="31432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171451</xdr:colOff>
      <xdr:row>1</xdr:row>
      <xdr:rowOff>0</xdr:rowOff>
    </xdr:from>
    <xdr:to>
      <xdr:col>6</xdr:col>
      <xdr:colOff>1143001</xdr:colOff>
      <xdr:row>9</xdr:row>
      <xdr:rowOff>314325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339F146-A678-432C-838E-F225C7EE7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24276" y="171450"/>
          <a:ext cx="1685925" cy="1685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638176</xdr:colOff>
      <xdr:row>1</xdr:row>
      <xdr:rowOff>142875</xdr:rowOff>
    </xdr:from>
    <xdr:to>
      <xdr:col>6</xdr:col>
      <xdr:colOff>1143000</xdr:colOff>
      <xdr:row>8</xdr:row>
      <xdr:rowOff>161924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67FEDCC-1F7D-42B9-8C8C-45BE2F3C8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1" y="31432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209551</xdr:colOff>
      <xdr:row>1</xdr:row>
      <xdr:rowOff>0</xdr:rowOff>
    </xdr:from>
    <xdr:to>
      <xdr:col>7</xdr:col>
      <xdr:colOff>28576</xdr:colOff>
      <xdr:row>9</xdr:row>
      <xdr:rowOff>314325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37D2E14-835A-4F57-BE9E-B87D97C2D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62376" y="171450"/>
          <a:ext cx="1685925" cy="1685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638176</xdr:colOff>
      <xdr:row>1</xdr:row>
      <xdr:rowOff>142875</xdr:rowOff>
    </xdr:from>
    <xdr:to>
      <xdr:col>6</xdr:col>
      <xdr:colOff>1143000</xdr:colOff>
      <xdr:row>8</xdr:row>
      <xdr:rowOff>161924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788E472-9763-4F13-9C74-9CA30B43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1" y="31432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0</xdr:row>
      <xdr:rowOff>161925</xdr:rowOff>
    </xdr:from>
    <xdr:to>
      <xdr:col>7</xdr:col>
      <xdr:colOff>1</xdr:colOff>
      <xdr:row>9</xdr:row>
      <xdr:rowOff>304800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A5E37A4-235C-4D81-860B-FF41E1A1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33801" y="161925"/>
          <a:ext cx="1685925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616F-2E52-4276-9E51-D530AA7FB27F}">
  <dimension ref="A1:Z944"/>
  <sheetViews>
    <sheetView workbookViewId="0">
      <selection activeCell="D20" sqref="D20:G20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34</v>
      </c>
      <c r="E13" s="12"/>
      <c r="F13" s="11" t="s">
        <v>7</v>
      </c>
      <c r="G13" s="13" t="s">
        <v>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46090</v>
      </c>
      <c r="E18" s="12"/>
      <c r="F18" s="11" t="s">
        <v>14</v>
      </c>
      <c r="G18" s="3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3">
        <v>46093</v>
      </c>
      <c r="E19" s="12"/>
      <c r="F19" s="11" t="s">
        <v>14</v>
      </c>
      <c r="G19" s="3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59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44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20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2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84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48" t="s">
        <v>58</v>
      </c>
      <c r="C37" s="48"/>
      <c r="D37" s="4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4">
    <mergeCell ref="B30:C30"/>
    <mergeCell ref="D30:G30"/>
    <mergeCell ref="D20:G20"/>
    <mergeCell ref="D21:G21"/>
    <mergeCell ref="D22:G22"/>
    <mergeCell ref="D26:G26"/>
    <mergeCell ref="B27:C27"/>
    <mergeCell ref="B31:C31"/>
    <mergeCell ref="D32:G32"/>
    <mergeCell ref="D33:G33"/>
    <mergeCell ref="D34:G34"/>
    <mergeCell ref="B38:D38"/>
    <mergeCell ref="E38:G38"/>
    <mergeCell ref="B37:D37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8820-63BB-4697-9305-8358A2474C76}">
  <dimension ref="A1:Z944"/>
  <sheetViews>
    <sheetView workbookViewId="0">
      <selection activeCell="J29" sqref="J29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6</v>
      </c>
      <c r="E13" s="12"/>
      <c r="F13" s="11" t="s">
        <v>7</v>
      </c>
      <c r="G13" s="13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45825</v>
      </c>
      <c r="E18" s="12"/>
      <c r="F18" s="11" t="s">
        <v>14</v>
      </c>
      <c r="G18" s="3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3">
        <v>45828</v>
      </c>
      <c r="E19" s="12"/>
      <c r="F19" s="11" t="s">
        <v>14</v>
      </c>
      <c r="G19" s="3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55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18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20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2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84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1" t="s">
        <v>57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3">
    <mergeCell ref="B31:C31"/>
    <mergeCell ref="D32:G32"/>
    <mergeCell ref="D33:G33"/>
    <mergeCell ref="D34:G34"/>
    <mergeCell ref="B38:D38"/>
    <mergeCell ref="E38:G38"/>
    <mergeCell ref="B30:C30"/>
    <mergeCell ref="D30:G30"/>
    <mergeCell ref="D20:G20"/>
    <mergeCell ref="D21:G21"/>
    <mergeCell ref="D22:G22"/>
    <mergeCell ref="D26:G26"/>
    <mergeCell ref="B27:C27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EA92-04D8-43C3-9F0A-0A02B0243A6E}">
  <dimension ref="A1:Z944"/>
  <sheetViews>
    <sheetView workbookViewId="0">
      <selection activeCell="B37" sqref="B37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53</v>
      </c>
      <c r="E13" s="12"/>
      <c r="F13" s="11" t="s">
        <v>7</v>
      </c>
      <c r="G13" s="13" t="s">
        <v>54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45992</v>
      </c>
      <c r="E18" s="12"/>
      <c r="F18" s="11" t="s">
        <v>14</v>
      </c>
      <c r="G18" s="34">
        <v>0.33333333333333331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3">
        <v>45996</v>
      </c>
      <c r="E19" s="12"/>
      <c r="F19" s="11" t="s">
        <v>14</v>
      </c>
      <c r="G19" s="36">
        <v>0.66666666666666663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55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44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20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3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112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1" t="s">
        <v>56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3">
    <mergeCell ref="B30:C30"/>
    <mergeCell ref="D30:G30"/>
    <mergeCell ref="D20:G20"/>
    <mergeCell ref="D21:G21"/>
    <mergeCell ref="D22:G22"/>
    <mergeCell ref="D26:G26"/>
    <mergeCell ref="B27:C27"/>
    <mergeCell ref="B31:C31"/>
    <mergeCell ref="D32:G32"/>
    <mergeCell ref="D33:G33"/>
    <mergeCell ref="D34:G34"/>
    <mergeCell ref="B38:D38"/>
    <mergeCell ref="E38:G38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750D-A88D-4DED-B0CA-3A7E5977F069}">
  <dimension ref="A1:Z944"/>
  <sheetViews>
    <sheetView workbookViewId="0">
      <selection activeCell="H10" sqref="H10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38</v>
      </c>
      <c r="E13" s="12"/>
      <c r="F13" s="11" t="s">
        <v>7</v>
      </c>
      <c r="G13" s="13" t="s">
        <v>39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45761</v>
      </c>
      <c r="E18" s="12"/>
      <c r="F18" s="11" t="s">
        <v>14</v>
      </c>
      <c r="G18" s="34">
        <v>0.33333333333333331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3">
        <v>45764</v>
      </c>
      <c r="E19" s="12"/>
      <c r="F19" s="11" t="s">
        <v>14</v>
      </c>
      <c r="G19" s="36">
        <v>0.66666666666666663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43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18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20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2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84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1" t="s">
        <v>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3">
    <mergeCell ref="B30:C30"/>
    <mergeCell ref="D30:G30"/>
    <mergeCell ref="D20:G20"/>
    <mergeCell ref="D21:G21"/>
    <mergeCell ref="D22:G22"/>
    <mergeCell ref="D26:G26"/>
    <mergeCell ref="B27:C27"/>
    <mergeCell ref="B31:C31"/>
    <mergeCell ref="D32:G32"/>
    <mergeCell ref="D33:G33"/>
    <mergeCell ref="D34:G34"/>
    <mergeCell ref="B38:D38"/>
    <mergeCell ref="E38:G38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A4B5-C017-4766-BF57-57ADC5494711}">
  <dimension ref="A1:Z944"/>
  <sheetViews>
    <sheetView workbookViewId="0">
      <selection activeCell="D35" sqref="D35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47</v>
      </c>
      <c r="E13" s="12"/>
      <c r="F13" s="11" t="s">
        <v>7</v>
      </c>
      <c r="G13" s="13" t="s">
        <v>41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50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45931</v>
      </c>
      <c r="E18" s="12"/>
      <c r="F18" s="11" t="s">
        <v>14</v>
      </c>
      <c r="G18" s="34">
        <v>0.41666666666666669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5">
        <v>45932</v>
      </c>
      <c r="E19" s="12"/>
      <c r="F19" s="11" t="s">
        <v>14</v>
      </c>
      <c r="G19" s="36">
        <v>0.83333333333333337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51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48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49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0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28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1" t="s">
        <v>52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3">
    <mergeCell ref="B30:C30"/>
    <mergeCell ref="D30:G30"/>
    <mergeCell ref="D20:G20"/>
    <mergeCell ref="D21:G21"/>
    <mergeCell ref="D22:G22"/>
    <mergeCell ref="D26:G26"/>
    <mergeCell ref="B27:C27"/>
    <mergeCell ref="B31:C31"/>
    <mergeCell ref="D32:G32"/>
    <mergeCell ref="D33:G33"/>
    <mergeCell ref="D34:G34"/>
    <mergeCell ref="B38:D38"/>
    <mergeCell ref="E38:G38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0B84-98FA-4A8B-A023-2F66B16FDCE9}">
  <dimension ref="A1:Z944"/>
  <sheetViews>
    <sheetView tabSelected="1" workbookViewId="0">
      <selection activeCell="B38" sqref="B38:D38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40</v>
      </c>
      <c r="E13" s="12"/>
      <c r="F13" s="11" t="s">
        <v>7</v>
      </c>
      <c r="G13" s="13" t="s">
        <v>41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46104</v>
      </c>
      <c r="E18" s="12"/>
      <c r="F18" s="11" t="s">
        <v>14</v>
      </c>
      <c r="G18" s="34">
        <v>0.33333333333333331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3">
        <v>46107</v>
      </c>
      <c r="E19" s="12"/>
      <c r="F19" s="11" t="s">
        <v>14</v>
      </c>
      <c r="G19" s="36">
        <v>0.6875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60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18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20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2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84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1" t="s">
        <v>61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3">
    <mergeCell ref="B31:C31"/>
    <mergeCell ref="D32:G32"/>
    <mergeCell ref="D33:G33"/>
    <mergeCell ref="D34:G34"/>
    <mergeCell ref="B38:D38"/>
    <mergeCell ref="E38:G38"/>
    <mergeCell ref="B30:C30"/>
    <mergeCell ref="D30:G30"/>
    <mergeCell ref="D20:G20"/>
    <mergeCell ref="D21:G21"/>
    <mergeCell ref="D22:G22"/>
    <mergeCell ref="D26:G26"/>
    <mergeCell ref="B27:C27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2FF1-73FF-42E6-8303-3BC360ABB5E5}">
  <dimension ref="A1:Z944"/>
  <sheetViews>
    <sheetView workbookViewId="0">
      <selection activeCell="K31" sqref="K31"/>
    </sheetView>
  </sheetViews>
  <sheetFormatPr baseColWidth="10" defaultColWidth="11.125" defaultRowHeight="15" customHeight="1" x14ac:dyDescent="0.25"/>
  <cols>
    <col min="1" max="1" width="3.875" customWidth="1"/>
    <col min="2" max="2" width="20.875" customWidth="1"/>
    <col min="3" max="3" width="4.125" customWidth="1"/>
    <col min="4" max="4" width="12.375" customWidth="1"/>
    <col min="5" max="5" width="5.375" customWidth="1"/>
    <col min="6" max="6" width="9.375" customWidth="1"/>
    <col min="7" max="7" width="15.125" customWidth="1"/>
    <col min="8" max="11" width="8.625" customWidth="1"/>
    <col min="12" max="26" width="8.125" customWidth="1"/>
  </cols>
  <sheetData>
    <row r="1" spans="1:26" ht="13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/>
      <c r="B5" s="2"/>
      <c r="C5" s="2"/>
      <c r="D5" s="2"/>
      <c r="E5" s="5"/>
      <c r="F5" s="2"/>
      <c r="G5" s="6"/>
      <c r="H5" s="4"/>
      <c r="I5" s="4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8" t="s">
        <v>0</v>
      </c>
      <c r="B6" s="2"/>
      <c r="C6" s="2"/>
      <c r="D6" s="2"/>
      <c r="E6" s="5"/>
      <c r="F6" s="2"/>
      <c r="G6" s="28"/>
      <c r="H6" s="4"/>
      <c r="I6" s="4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5" t="s">
        <v>1</v>
      </c>
      <c r="B7" s="2"/>
      <c r="C7" s="2"/>
      <c r="D7" s="2"/>
      <c r="E7" s="5"/>
      <c r="F7" s="2"/>
      <c r="G7" s="28"/>
      <c r="H7" s="4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5" t="s">
        <v>2</v>
      </c>
      <c r="B8" s="2"/>
      <c r="C8" s="2"/>
      <c r="D8" s="2"/>
      <c r="E8" s="2"/>
      <c r="F8" s="2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5">
      <c r="A10" s="9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5">
      <c r="A12" s="2"/>
      <c r="B12" s="10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11" t="s">
        <v>5</v>
      </c>
      <c r="C13" s="12"/>
      <c r="D13" s="13" t="s">
        <v>36</v>
      </c>
      <c r="E13" s="12"/>
      <c r="F13" s="11" t="s">
        <v>7</v>
      </c>
      <c r="G13" s="13" t="s">
        <v>37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11" t="s">
        <v>9</v>
      </c>
      <c r="C14" s="12"/>
      <c r="D14" s="14"/>
      <c r="E14" s="12"/>
      <c r="F14" s="11" t="s">
        <v>10</v>
      </c>
      <c r="G14" s="14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15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17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2"/>
      <c r="B17" s="10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11" t="s">
        <v>13</v>
      </c>
      <c r="C18" s="12"/>
      <c r="D18" s="33">
        <v>45824</v>
      </c>
      <c r="E18" s="12"/>
      <c r="F18" s="11" t="s">
        <v>14</v>
      </c>
      <c r="G18" s="34">
        <v>0.33333333333333331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11" t="s">
        <v>15</v>
      </c>
      <c r="C19" s="12"/>
      <c r="D19" s="33">
        <v>45828</v>
      </c>
      <c r="E19" s="12"/>
      <c r="F19" s="11" t="s">
        <v>14</v>
      </c>
      <c r="G19" s="36">
        <v>0.70833333333333337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 t="s">
        <v>16</v>
      </c>
      <c r="C20" s="12"/>
      <c r="D20" s="40" t="s">
        <v>45</v>
      </c>
      <c r="E20" s="39"/>
      <c r="F20" s="39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11" t="s">
        <v>17</v>
      </c>
      <c r="C21" s="12"/>
      <c r="D21" s="40" t="s">
        <v>44</v>
      </c>
      <c r="E21" s="39"/>
      <c r="F21" s="39"/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11" t="s">
        <v>19</v>
      </c>
      <c r="C22" s="12"/>
      <c r="D22" s="41" t="s">
        <v>20</v>
      </c>
      <c r="E22" s="42"/>
      <c r="F22" s="42"/>
      <c r="G22" s="4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19"/>
      <c r="C23" s="20"/>
      <c r="D23" s="20"/>
      <c r="E23" s="20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2"/>
      <c r="B25" s="22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11" t="s">
        <v>22</v>
      </c>
      <c r="C26" s="12"/>
      <c r="D26" s="43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7" t="s">
        <v>23</v>
      </c>
      <c r="C27" s="37"/>
      <c r="D27" s="32">
        <v>2</v>
      </c>
      <c r="E27" s="23" t="s">
        <v>24</v>
      </c>
      <c r="F27" s="31">
        <v>14</v>
      </c>
      <c r="G27" s="25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12"/>
      <c r="C28" s="12"/>
      <c r="D28" s="30"/>
      <c r="E28" s="23"/>
      <c r="F28" s="23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12" t="s">
        <v>26</v>
      </c>
      <c r="C29" s="12"/>
      <c r="D29" s="16">
        <v>3</v>
      </c>
      <c r="E29" s="23" t="s">
        <v>24</v>
      </c>
      <c r="F29" s="24">
        <v>28</v>
      </c>
      <c r="G29" s="25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37" t="s">
        <v>27</v>
      </c>
      <c r="C30" s="37"/>
      <c r="D30" s="38"/>
      <c r="E30" s="39"/>
      <c r="F30" s="39"/>
      <c r="G30" s="3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4" t="s">
        <v>28</v>
      </c>
      <c r="C31" s="44"/>
      <c r="D31" s="24"/>
      <c r="E31" s="27"/>
      <c r="F31" s="27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11" t="s">
        <v>29</v>
      </c>
      <c r="C32" s="12"/>
      <c r="D32" s="43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1" t="s">
        <v>30</v>
      </c>
      <c r="C33" s="12"/>
      <c r="D33" s="43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2"/>
      <c r="B34" s="26" t="s">
        <v>31</v>
      </c>
      <c r="C34" s="12"/>
      <c r="D34" s="45">
        <f>D26+D27*F27+D29*F29+D32+D33-D30</f>
        <v>112</v>
      </c>
      <c r="E34" s="46"/>
      <c r="F34" s="46"/>
      <c r="G34" s="4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1" t="s">
        <v>46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7" t="s">
        <v>32</v>
      </c>
      <c r="C38" s="42"/>
      <c r="D38" s="42"/>
      <c r="E38" s="41" t="s">
        <v>33</v>
      </c>
      <c r="F38" s="42"/>
      <c r="G38" s="4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36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3">
    <mergeCell ref="B30:C30"/>
    <mergeCell ref="D30:G30"/>
    <mergeCell ref="D20:G20"/>
    <mergeCell ref="D21:G21"/>
    <mergeCell ref="D22:G22"/>
    <mergeCell ref="D26:G26"/>
    <mergeCell ref="B27:C27"/>
    <mergeCell ref="B31:C31"/>
    <mergeCell ref="D32:G32"/>
    <mergeCell ref="D33:G33"/>
    <mergeCell ref="D34:G34"/>
    <mergeCell ref="B38:D38"/>
    <mergeCell ref="E38:G38"/>
  </mergeCells>
  <pageMargins left="0.75000000000000011" right="0.75000000000000011" top="1" bottom="1" header="0" footer="0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A23A-6918-0545-98E5-EA60360176DD}">
  <dimension ref="A1"/>
  <sheetViews>
    <sheetView workbookViewId="0"/>
  </sheetViews>
  <sheetFormatPr baseColWidth="10" defaultColWidth="11" defaultRowHeight="15.75" x14ac:dyDescent="0.25"/>
  <sheetData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Domenko</vt:lpstr>
      <vt:lpstr>Kukulevskyi</vt:lpstr>
      <vt:lpstr>Vladmann</vt:lpstr>
      <vt:lpstr>Yerantsev</vt:lpstr>
      <vt:lpstr>Ekaterina.Aust</vt:lpstr>
      <vt:lpstr>Aust</vt:lpstr>
      <vt:lpstr>Scharf</vt:lpstr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Aust</dc:creator>
  <cp:keywords/>
  <dc:description/>
  <cp:lastModifiedBy>Alex Aust</cp:lastModifiedBy>
  <cp:revision/>
  <cp:lastPrinted>2026-04-12T14:45:43Z</cp:lastPrinted>
  <dcterms:created xsi:type="dcterms:W3CDTF">2024-03-13T08:54:47Z</dcterms:created>
  <dcterms:modified xsi:type="dcterms:W3CDTF">2026-04-12T14:45:48Z</dcterms:modified>
  <cp:category/>
  <cp:contentStatus/>
</cp:coreProperties>
</file>