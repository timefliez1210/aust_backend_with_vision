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9e13ac9897c33/Sonstiges/Vorlagen/"/>
    </mc:Choice>
  </mc:AlternateContent>
  <xr:revisionPtr revIDLastSave="56" documentId="8_{9D4BE6F9-A7AF-425E-B76C-9AA2EE2B0D4B}" xr6:coauthVersionLast="47" xr6:coauthVersionMax="47" xr10:uidLastSave="{0CB9E116-C0C8-42CF-AF81-D2B8A25DDE4C}"/>
  <bookViews>
    <workbookView xWindow="25800" yWindow="0" windowWidth="25800" windowHeight="21000" xr2:uid="{CAD5944C-1FAD-446E-98A0-B4088CAB0B5B}"/>
  </bookViews>
  <sheets>
    <sheet name="Tabelle1" sheetId="1" r:id="rId1"/>
  </sheets>
  <definedNames>
    <definedName name="_xlnm.Print_Area" localSheetId="0">Tabelle1!$A$1:$E$69</definedName>
    <definedName name="Firmenname">Tabelle1!$B$1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35" i="1"/>
  <c r="E36" i="1"/>
  <c r="E37" i="1"/>
  <c r="E34" i="1"/>
  <c r="E31" i="1"/>
  <c r="E33" i="1"/>
  <c r="E32" i="1"/>
  <c r="E38" i="1" l="1"/>
  <c r="E39" i="1" s="1"/>
  <c r="E41" i="1" l="1"/>
</calcChain>
</file>

<file path=xl/sharedStrings.xml><?xml version="1.0" encoding="utf-8"?>
<sst xmlns="http://schemas.openxmlformats.org/spreadsheetml/2006/main" count="33" uniqueCount="33">
  <si>
    <r>
      <t>Aust Umzüge &amp; Haushaltssauflösungen</t>
    </r>
    <r>
      <rPr>
        <sz val="11"/>
        <color rgb="FF000000"/>
        <rFont val="Calibri"/>
        <family val="2"/>
        <scheme val="minor"/>
      </rPr>
      <t> </t>
    </r>
    <r>
      <rPr>
        <sz val="8"/>
        <color rgb="FF000000"/>
        <rFont val="Calibri"/>
        <family val="2"/>
        <scheme val="minor"/>
      </rPr>
      <t> </t>
    </r>
  </si>
  <si>
    <t>Ehrlicherstr. 38  31135 Hildesheim</t>
  </si>
  <si>
    <t>info@aust-umzuege.de</t>
  </si>
  <si>
    <t>www.aust-umzuege.de</t>
  </si>
  <si>
    <t>Leistungsdatum</t>
  </si>
  <si>
    <t>Datum</t>
  </si>
  <si>
    <t xml:space="preserve">wir bedanken uns für Ihr Vertrauen und stellen Ihnen verinbarungsgemäß folgendes in Rechnung. </t>
  </si>
  <si>
    <t>Pos.</t>
  </si>
  <si>
    <t>Bezeichnung</t>
  </si>
  <si>
    <t>Menge</t>
  </si>
  <si>
    <t>Einzelpreis</t>
  </si>
  <si>
    <t>Gesamtpreis</t>
  </si>
  <si>
    <t>1.</t>
  </si>
  <si>
    <t>2.</t>
  </si>
  <si>
    <t>3.</t>
  </si>
  <si>
    <t>4.</t>
  </si>
  <si>
    <t>5.</t>
  </si>
  <si>
    <t>6.</t>
  </si>
  <si>
    <t>7.</t>
  </si>
  <si>
    <t>Nettosumme</t>
  </si>
  <si>
    <t>zzgl. 19%MwSt.</t>
  </si>
  <si>
    <t>Rechnungsbetrag</t>
  </si>
  <si>
    <t>Bitte überweisen Sie den Rechnungsbetrag innerhalb von 7 Tagen unter Angabe der Rechnungsnummer auf das unten genannte Konto.</t>
  </si>
  <si>
    <t>Mit freundlichen Grüßen </t>
  </si>
  <si>
    <t>Aust Umzüge &amp; Haushaltsauflösungen </t>
  </si>
  <si>
    <t>Sehr geehrte Damen und Herren,</t>
  </si>
  <si>
    <t>Blankenstein Logistik GmbH</t>
  </si>
  <si>
    <t>Martin Blankenstein</t>
  </si>
  <si>
    <t>Ruscheplatenstr. 14</t>
  </si>
  <si>
    <t>31137 Hildesheim</t>
  </si>
  <si>
    <t>Rechnung Nr.112026</t>
  </si>
  <si>
    <t>Auftragsort:  Ruschenplatestr. 14,31137 Hildesheim</t>
  </si>
  <si>
    <t>01.03.2026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</si>
</sst>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[$-409]mmmm\ d\,\ yyyy;@"/>
    <numFmt numFmtId="165" formatCode="[&lt;=9999999]###\-####;\(###\)\ ###\-####"/>
    <numFmt numFmtId="166" formatCode="_-* #,##0.00\ [$€-407]_-;\-* #,##0.00\ [$€-407]_-;_-* &quot;-&quot;??\ [$€-407]_-;_-@_-"/>
    <numFmt numFmtId="167" formatCode="#,##0.00\ &quot;€&quot;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8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>
      <alignment horizontal="left"/>
    </xf>
    <xf numFmtId="165" fontId="3" fillId="0" borderId="0" applyFont="0" applyFill="0" applyBorder="0">
      <alignment horizontal="left" vertical="top"/>
    </xf>
    <xf numFmtId="0" fontId="3" fillId="0" borderId="0" applyNumberFormat="0" applyFont="0" applyFill="0" applyBorder="0">
      <alignment horizontal="left" vertical="top" wrapText="1"/>
    </xf>
    <xf numFmtId="0" fontId="3" fillId="0" borderId="0" applyNumberFormat="0" applyFont="0" applyFill="0" applyBorder="0" applyProtection="0">
      <alignment horizontal="right" vertical="center" indent="1"/>
    </xf>
    <xf numFmtId="44" fontId="1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9">
    <xf numFmtId="0" fontId="0" fillId="0" borderId="0" xfId="0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/>
    <xf numFmtId="0" fontId="16" fillId="0" borderId="0" xfId="0" applyFont="1"/>
    <xf numFmtId="14" fontId="16" fillId="0" borderId="0" xfId="0" applyNumberFormat="1" applyFont="1" applyAlignment="1">
      <alignment horizontal="left" vertical="center"/>
    </xf>
    <xf numFmtId="0" fontId="18" fillId="0" borderId="0" xfId="6" applyFont="1"/>
    <xf numFmtId="0" fontId="16" fillId="2" borderId="0" xfId="0" applyFont="1" applyFill="1"/>
    <xf numFmtId="166" fontId="16" fillId="2" borderId="0" xfId="0" applyNumberFormat="1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0" xfId="0" applyFont="1"/>
    <xf numFmtId="0" fontId="0" fillId="2" borderId="3" xfId="0" applyFill="1" applyBorder="1"/>
    <xf numFmtId="0" fontId="0" fillId="2" borderId="7" xfId="0" applyFill="1" applyBorder="1"/>
    <xf numFmtId="0" fontId="2" fillId="2" borderId="7" xfId="0" applyFont="1" applyFill="1" applyBorder="1"/>
    <xf numFmtId="166" fontId="2" fillId="2" borderId="7" xfId="0" applyNumberFormat="1" applyFont="1" applyFill="1" applyBorder="1"/>
    <xf numFmtId="0" fontId="17" fillId="0" borderId="0" xfId="0" applyFo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2" borderId="0" xfId="0" applyFill="1"/>
    <xf numFmtId="14" fontId="1" fillId="0" borderId="0" xfId="0" applyNumberFormat="1" applyFont="1" applyAlignment="1">
      <alignment horizontal="left" vertical="center"/>
    </xf>
    <xf numFmtId="49" fontId="12" fillId="3" borderId="0" xfId="0" applyNumberFormat="1" applyFont="1" applyFill="1" applyAlignment="1">
      <alignment horizontal="left"/>
    </xf>
    <xf numFmtId="1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167" fontId="12" fillId="3" borderId="0" xfId="0" applyNumberFormat="1" applyFont="1" applyFill="1" applyAlignment="1">
      <alignment horizontal="right"/>
    </xf>
    <xf numFmtId="167" fontId="12" fillId="3" borderId="0" xfId="5" applyNumberFormat="1" applyFont="1" applyFill="1" applyBorder="1"/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left"/>
    </xf>
    <xf numFmtId="167" fontId="12" fillId="0" borderId="0" xfId="0" applyNumberFormat="1" applyFont="1" applyAlignment="1">
      <alignment horizontal="right" vertical="center"/>
    </xf>
    <xf numFmtId="167" fontId="12" fillId="0" borderId="0" xfId="5" applyNumberFormat="1" applyFont="1" applyBorder="1"/>
    <xf numFmtId="167" fontId="12" fillId="3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left"/>
    </xf>
    <xf numFmtId="167" fontId="12" fillId="2" borderId="0" xfId="0" applyNumberFormat="1" applyFont="1" applyFill="1" applyAlignment="1">
      <alignment horizontal="right" vertical="center"/>
    </xf>
    <xf numFmtId="167" fontId="12" fillId="2" borderId="0" xfId="5" applyNumberFormat="1" applyFont="1" applyFill="1" applyBorder="1"/>
    <xf numFmtId="0" fontId="1" fillId="2" borderId="0" xfId="0" applyFont="1" applyFill="1"/>
    <xf numFmtId="0" fontId="1" fillId="2" borderId="1" xfId="0" applyFont="1" applyFill="1" applyBorder="1"/>
    <xf numFmtId="166" fontId="1" fillId="2" borderId="1" xfId="0" applyNumberFormat="1" applyFont="1" applyFill="1" applyBorder="1"/>
    <xf numFmtId="9" fontId="1" fillId="2" borderId="2" xfId="0" applyNumberFormat="1" applyFont="1" applyFill="1" applyBorder="1"/>
    <xf numFmtId="166" fontId="1" fillId="2" borderId="2" xfId="0" applyNumberFormat="1" applyFont="1" applyFill="1" applyBorder="1"/>
    <xf numFmtId="166" fontId="1" fillId="2" borderId="0" xfId="0" applyNumberFormat="1" applyFont="1" applyFill="1"/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7">
    <cellStyle name="Datum" xfId="1" xr:uid="{502F0A49-AFAC-42A8-8516-69EDD8429EA1}"/>
    <cellStyle name="Hyperlink" xfId="6" xr:uid="{00000000-000B-0000-0000-000008000000}"/>
    <cellStyle name="Produktbeschreibung" xfId="3" xr:uid="{B5DBB7CF-41DA-4756-867C-66C882A7C195}"/>
    <cellStyle name="Rechtsbündig" xfId="4" xr:uid="{BC060E7F-830F-4E01-A199-C3644E1B8F0F}"/>
    <cellStyle name="Standard" xfId="0" builtinId="0"/>
    <cellStyle name="Telefon" xfId="2" xr:uid="{F8D6A17B-9F01-4003-8360-EBD10EFE81BE}"/>
    <cellStyle name="Währung" xfId="5" builtinId="4"/>
  </cellStyles>
  <dxfs count="7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66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3869"/>
      <color rgb="FFFF6600"/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614535</xdr:colOff>
      <xdr:row>0</xdr:row>
      <xdr:rowOff>0</xdr:rowOff>
    </xdr:from>
    <xdr:to>
      <xdr:col>5</xdr:col>
      <xdr:colOff>43498</xdr:colOff>
      <xdr:row>9</xdr:row>
      <xdr:rowOff>44825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8D1CFB7-89C5-6836-C7CB-77C5ECB9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182" y="0"/>
          <a:ext cx="2039934" cy="16314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E98EB2-6905-4A2A-8602-50CB99EF05C6}" name="Tabelle4" displayName="Tabelle4" ref="A30:E50" totalsRowShown="0" headerRowDxfId="6" dataDxfId="4" headerRowBorderDxfId="5">
  <autoFilter ref="A30:E50" xr:uid="{1B0122B4-F889-4BCF-92AE-B78FCA24C92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3987123-96BA-4947-A78F-76A73CC5B365}" name="Pos." dataDxfId="3"/>
    <tableColumn id="2" xr3:uid="{BA5FED87-1BBD-4B0A-B34A-8D090A95E28B}" name="Bezeichnung" dataDxfId="2"/>
    <tableColumn id="3" xr3:uid="{FE2817D0-BAE0-498B-8447-315B0D8309C1}" name="Menge" dataDxfId="1"/>
    <tableColumn id="5" xr3:uid="{96A68B99-038E-47A3-A1A8-777F38A14A81}" name="Einzelpreis"/>
    <tableColumn id="4" xr3:uid="{E9068ECE-3060-4E07-B421-7FCA297942C1}" name="Gesamtprei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CE70-A0A9-4796-9ED0-F2EAD5846BF8}">
  <sheetPr>
    <pageSetUpPr fitToPage="1"/>
  </sheetPr>
  <dimension ref="A1:E62"/>
  <sheetViews>
    <sheetView tabSelected="1" view="pageLayout" zoomScale="85" zoomScaleNormal="125" zoomScalePageLayoutView="85" workbookViewId="0">
      <selection activeCell="E31" sqref="E31"/>
    </sheetView>
  </sheetViews>
  <sheetFormatPr baseColWidth="10" defaultColWidth="11.42578125" defaultRowHeight="15" x14ac:dyDescent="0.25"/>
  <cols>
    <col min="1" max="1" width="5.42578125" customWidth="1"/>
    <col min="2" max="2" width="41.42578125" customWidth="1"/>
    <col min="3" max="4" width="12.7109375" customWidth="1"/>
    <col min="5" max="5" width="23.7109375" customWidth="1"/>
  </cols>
  <sheetData>
    <row r="1" spans="1:5" ht="21.75" customHeight="1" x14ac:dyDescent="0.25"/>
    <row r="2" spans="1:5" ht="21" x14ac:dyDescent="0.35">
      <c r="A2" s="52"/>
      <c r="B2" s="52"/>
      <c r="C2" s="52"/>
      <c r="D2" s="25"/>
    </row>
    <row r="3" spans="1:5" ht="18.75" x14ac:dyDescent="0.3">
      <c r="A3" s="53"/>
      <c r="B3" s="53"/>
      <c r="C3" s="53"/>
      <c r="D3" s="26"/>
    </row>
    <row r="5" spans="1:5" ht="9.75" customHeight="1" x14ac:dyDescent="0.25">
      <c r="A5" s="56" t="s">
        <v>0</v>
      </c>
      <c r="B5" s="56"/>
    </row>
    <row r="6" spans="1:5" ht="10.5" customHeight="1" x14ac:dyDescent="0.25">
      <c r="A6" s="56" t="s">
        <v>1</v>
      </c>
      <c r="B6" s="56"/>
    </row>
    <row r="7" spans="1:5" ht="10.5" customHeight="1" x14ac:dyDescent="0.25">
      <c r="A7" s="28"/>
      <c r="B7" s="28"/>
    </row>
    <row r="8" spans="1:5" ht="15.75" x14ac:dyDescent="0.25">
      <c r="A8" s="13" t="s">
        <v>26</v>
      </c>
      <c r="B8" s="18"/>
    </row>
    <row r="9" spans="1:5" ht="15.75" x14ac:dyDescent="0.25">
      <c r="A9" t="s">
        <v>27</v>
      </c>
      <c r="E9" s="7" t="s">
        <v>2</v>
      </c>
    </row>
    <row r="10" spans="1:5" ht="15.75" x14ac:dyDescent="0.25">
      <c r="A10" t="s">
        <v>28</v>
      </c>
      <c r="B10" s="29"/>
      <c r="E10" s="7" t="s">
        <v>3</v>
      </c>
    </row>
    <row r="11" spans="1:5" ht="15.75" x14ac:dyDescent="0.25">
      <c r="A11" t="s">
        <v>29</v>
      </c>
      <c r="E11" s="29"/>
    </row>
    <row r="12" spans="1:5" ht="15.75" x14ac:dyDescent="0.25">
      <c r="A12" s="13"/>
      <c r="E12" s="29"/>
    </row>
    <row r="14" spans="1:5" x14ac:dyDescent="0.25">
      <c r="E14" s="24"/>
    </row>
    <row r="15" spans="1:5" ht="15.75" x14ac:dyDescent="0.25">
      <c r="E15" s="7"/>
    </row>
    <row r="16" spans="1:5" ht="15.75" x14ac:dyDescent="0.25">
      <c r="E16" s="7"/>
    </row>
    <row r="18" spans="1:5" ht="15.75" x14ac:dyDescent="0.25">
      <c r="C18" s="5" t="s">
        <v>4</v>
      </c>
      <c r="D18" s="5"/>
      <c r="E18" s="6" t="s">
        <v>5</v>
      </c>
    </row>
    <row r="19" spans="1:5" ht="15.75" x14ac:dyDescent="0.25">
      <c r="C19" s="22">
        <v>46082</v>
      </c>
      <c r="D19" s="22"/>
      <c r="E19" s="22">
        <f ca="1">TODAY()</f>
        <v>46083</v>
      </c>
    </row>
    <row r="20" spans="1:5" ht="11.1" customHeight="1" x14ac:dyDescent="0.25">
      <c r="C20" s="1"/>
      <c r="D20" s="1"/>
      <c r="E20" s="1"/>
    </row>
    <row r="21" spans="1:5" ht="3.95" customHeight="1" x14ac:dyDescent="0.25"/>
    <row r="22" spans="1:5" ht="23.25" x14ac:dyDescent="0.35">
      <c r="A22" s="54" t="s">
        <v>30</v>
      </c>
      <c r="B22" s="54"/>
      <c r="C22" s="54"/>
      <c r="D22" s="27"/>
    </row>
    <row r="23" spans="1:5" ht="15" customHeight="1" x14ac:dyDescent="0.25">
      <c r="A23" s="4"/>
      <c r="B23" s="2"/>
    </row>
    <row r="24" spans="1:5" ht="18" customHeight="1" x14ac:dyDescent="0.25">
      <c r="A24" s="55" t="s">
        <v>25</v>
      </c>
      <c r="B24" s="55"/>
      <c r="C24" s="29"/>
      <c r="D24" s="29"/>
      <c r="E24" s="29"/>
    </row>
    <row r="25" spans="1:5" ht="7.5" customHeight="1" x14ac:dyDescent="0.25">
      <c r="A25" s="29"/>
      <c r="B25" s="29"/>
      <c r="C25" s="29"/>
      <c r="D25" s="29"/>
      <c r="E25" s="29"/>
    </row>
    <row r="26" spans="1:5" ht="25.5" customHeight="1" x14ac:dyDescent="0.25">
      <c r="A26" s="58" t="s">
        <v>6</v>
      </c>
      <c r="B26" s="58"/>
      <c r="C26" s="58"/>
      <c r="D26" s="58"/>
      <c r="E26" s="58"/>
    </row>
    <row r="27" spans="1:5" ht="21" customHeight="1" x14ac:dyDescent="0.25">
      <c r="A27" s="58" t="s">
        <v>31</v>
      </c>
      <c r="B27" s="58"/>
      <c r="C27" s="58"/>
      <c r="D27" s="58"/>
      <c r="E27" s="58"/>
    </row>
    <row r="28" spans="1:5" ht="15.75" customHeight="1" x14ac:dyDescent="0.25">
      <c r="A28" s="58"/>
      <c r="B28" s="58"/>
      <c r="C28" s="58"/>
      <c r="D28" s="58"/>
      <c r="E28" s="58"/>
    </row>
    <row r="30" spans="1:5" ht="20.25" customHeight="1" x14ac:dyDescent="0.25">
      <c r="A30" s="19" t="s">
        <v>7</v>
      </c>
      <c r="B30" s="19" t="s">
        <v>8</v>
      </c>
      <c r="C30" s="19" t="s">
        <v>9</v>
      </c>
      <c r="D30" s="19" t="s">
        <v>10</v>
      </c>
      <c r="E30" s="20" t="s">
        <v>11</v>
      </c>
    </row>
    <row r="31" spans="1:5" ht="15.75" x14ac:dyDescent="0.25">
      <c r="A31" s="30" t="s">
        <v>12</v>
      </c>
      <c r="B31" s="23" t="s">
        <v>32</v>
      </c>
      <c r="C31" s="31">
        <v>1</v>
      </c>
      <c r="D31" s="32">
        <v>300</v>
      </c>
      <c r="E31" s="33">
        <f>Tabelle4[[#This Row],[Einzelpreis]]*Tabelle4[[#This Row],[Menge]]</f>
        <v>300</v>
      </c>
    </row>
    <row r="32" spans="1:5" ht="15.75" x14ac:dyDescent="0.25">
      <c r="A32" s="34" t="s">
        <v>13</v>
      </c>
      <c r="B32" s="35"/>
      <c r="C32" s="34"/>
      <c r="D32" s="36"/>
      <c r="E32" s="37">
        <f>Tabelle4[[#This Row],[Einzelpreis]]*Tabelle4[[#This Row],[Menge]]</f>
        <v>0</v>
      </c>
    </row>
    <row r="33" spans="1:5" ht="15.75" x14ac:dyDescent="0.25">
      <c r="A33" s="30" t="s">
        <v>14</v>
      </c>
      <c r="B33" s="23"/>
      <c r="C33" s="30"/>
      <c r="D33" s="38"/>
      <c r="E33" s="33">
        <f>Tabelle4[[#This Row],[Einzelpreis]]*Tabelle4[[#This Row],[Menge]]</f>
        <v>0</v>
      </c>
    </row>
    <row r="34" spans="1:5" ht="15.75" x14ac:dyDescent="0.25">
      <c r="A34" s="39" t="s">
        <v>15</v>
      </c>
      <c r="B34" s="40"/>
      <c r="C34" s="39"/>
      <c r="D34" s="41"/>
      <c r="E34" s="42">
        <f>Tabelle4[[#This Row],[Einzelpreis]]*Tabelle4[[#This Row],[Menge]]</f>
        <v>0</v>
      </c>
    </row>
    <row r="35" spans="1:5" ht="15.75" x14ac:dyDescent="0.25">
      <c r="A35" s="30" t="s">
        <v>16</v>
      </c>
      <c r="B35" s="23"/>
      <c r="C35" s="30"/>
      <c r="D35" s="38"/>
      <c r="E35" s="33">
        <f>Tabelle4[[#This Row],[Einzelpreis]]*Tabelle4[[#This Row],[Menge]]</f>
        <v>0</v>
      </c>
    </row>
    <row r="36" spans="1:5" ht="15.75" x14ac:dyDescent="0.25">
      <c r="A36" s="39" t="s">
        <v>17</v>
      </c>
      <c r="B36" s="40"/>
      <c r="C36" s="39"/>
      <c r="D36" s="41"/>
      <c r="E36" s="42">
        <f>Tabelle4[[#This Row],[Einzelpreis]]*Tabelle4[[#This Row],[Menge]]</f>
        <v>0</v>
      </c>
    </row>
    <row r="37" spans="1:5" ht="15.75" x14ac:dyDescent="0.25">
      <c r="A37" s="30" t="s">
        <v>18</v>
      </c>
      <c r="B37" s="23"/>
      <c r="C37" s="30"/>
      <c r="D37" s="38"/>
      <c r="E37" s="33">
        <f>Tabelle4[[#This Row],[Einzelpreis]]*Tabelle4[[#This Row],[Menge]]</f>
        <v>0</v>
      </c>
    </row>
    <row r="38" spans="1:5" ht="15.75" x14ac:dyDescent="0.25">
      <c r="A38" s="39" t="s">
        <v>18</v>
      </c>
      <c r="B38" s="40"/>
      <c r="C38" s="39"/>
      <c r="D38" s="41"/>
      <c r="E38" s="42">
        <f>Tabelle4[[#This Row],[Einzelpreis]]*Tabelle4[[#This Row],[Menge]]</f>
        <v>0</v>
      </c>
    </row>
    <row r="39" spans="1:5" ht="15.75" x14ac:dyDescent="0.25">
      <c r="A39" s="30" t="s">
        <v>18</v>
      </c>
      <c r="B39" s="23"/>
      <c r="C39" s="30"/>
      <c r="D39" s="38"/>
      <c r="E39" s="33">
        <f>Tabelle4[[#This Row],[Einzelpreis]]*Tabelle4[[#This Row],[Menge]]</f>
        <v>0</v>
      </c>
    </row>
    <row r="40" spans="1:5" ht="15.75" x14ac:dyDescent="0.25">
      <c r="A40" s="39" t="s">
        <v>18</v>
      </c>
      <c r="B40" s="40"/>
      <c r="C40" s="39"/>
      <c r="D40" s="41"/>
      <c r="E40" s="42">
        <f>Tabelle4[[#This Row],[Einzelpreis]]*Tabelle4[[#This Row],[Menge]]</f>
        <v>0</v>
      </c>
    </row>
    <row r="41" spans="1:5" ht="15.75" x14ac:dyDescent="0.25">
      <c r="A41" s="30" t="s">
        <v>18</v>
      </c>
      <c r="B41" s="23"/>
      <c r="C41" s="30"/>
      <c r="D41" s="38"/>
      <c r="E41" s="33">
        <f>Tabelle4[[#This Row],[Einzelpreis]]*Tabelle4[[#This Row],[Menge]]</f>
        <v>0</v>
      </c>
    </row>
    <row r="42" spans="1:5" ht="15.75" x14ac:dyDescent="0.25">
      <c r="A42" s="39" t="s">
        <v>18</v>
      </c>
      <c r="B42" s="40"/>
      <c r="C42" s="39"/>
      <c r="D42" s="41"/>
      <c r="E42" s="42">
        <f>Tabelle4[[#This Row],[Einzelpreis]]*Tabelle4[[#This Row],[Menge]]</f>
        <v>0</v>
      </c>
    </row>
    <row r="43" spans="1:5" ht="15.75" x14ac:dyDescent="0.25">
      <c r="A43" s="30" t="s">
        <v>18</v>
      </c>
      <c r="B43" s="23"/>
      <c r="C43" s="30"/>
      <c r="D43" s="38"/>
      <c r="E43" s="33">
        <f>Tabelle4[[#This Row],[Einzelpreis]]*Tabelle4[[#This Row],[Menge]]</f>
        <v>0</v>
      </c>
    </row>
    <row r="44" spans="1:5" ht="15.75" x14ac:dyDescent="0.25">
      <c r="A44" s="39" t="s">
        <v>18</v>
      </c>
      <c r="B44" s="40"/>
      <c r="C44" s="39"/>
      <c r="D44" s="41"/>
      <c r="E44" s="42">
        <f>Tabelle4[[#This Row],[Einzelpreis]]*Tabelle4[[#This Row],[Menge]]</f>
        <v>0</v>
      </c>
    </row>
    <row r="45" spans="1:5" ht="15.75" x14ac:dyDescent="0.25">
      <c r="A45" s="30" t="s">
        <v>18</v>
      </c>
      <c r="B45" s="23"/>
      <c r="C45" s="30"/>
      <c r="D45" s="38"/>
      <c r="E45" s="33">
        <f>Tabelle4[[#This Row],[Einzelpreis]]*Tabelle4[[#This Row],[Menge]]</f>
        <v>0</v>
      </c>
    </row>
    <row r="46" spans="1:5" ht="15.75" x14ac:dyDescent="0.25">
      <c r="A46" s="39" t="s">
        <v>18</v>
      </c>
      <c r="B46" s="40"/>
      <c r="C46" s="39"/>
      <c r="D46" s="41"/>
      <c r="E46" s="42">
        <f>Tabelle4[[#This Row],[Einzelpreis]]*Tabelle4[[#This Row],[Menge]]</f>
        <v>0</v>
      </c>
    </row>
    <row r="47" spans="1:5" ht="15.75" x14ac:dyDescent="0.25">
      <c r="A47" s="30" t="s">
        <v>18</v>
      </c>
      <c r="B47" s="23"/>
      <c r="C47" s="30"/>
      <c r="D47" s="38"/>
      <c r="E47" s="33">
        <f>Tabelle4[[#This Row],[Einzelpreis]]*Tabelle4[[#This Row],[Menge]]</f>
        <v>0</v>
      </c>
    </row>
    <row r="48" spans="1:5" ht="15.75" x14ac:dyDescent="0.25">
      <c r="A48" s="39" t="s">
        <v>18</v>
      </c>
      <c r="B48" s="40"/>
      <c r="C48" s="39"/>
      <c r="D48" s="41"/>
      <c r="E48" s="42">
        <f>Tabelle4[[#This Row],[Einzelpreis]]*Tabelle4[[#This Row],[Menge]]</f>
        <v>0</v>
      </c>
    </row>
    <row r="49" spans="1:5" ht="15.75" x14ac:dyDescent="0.25">
      <c r="A49" s="30" t="s">
        <v>18</v>
      </c>
      <c r="B49" s="23"/>
      <c r="C49" s="30"/>
      <c r="D49" s="38"/>
      <c r="E49" s="33">
        <f>Tabelle4[[#This Row],[Einzelpreis]]*Tabelle4[[#This Row],[Menge]]</f>
        <v>0</v>
      </c>
    </row>
    <row r="50" spans="1:5" ht="15.75" x14ac:dyDescent="0.25">
      <c r="A50" s="39" t="s">
        <v>18</v>
      </c>
      <c r="B50" s="40"/>
      <c r="C50" s="39"/>
      <c r="D50" s="41"/>
      <c r="E50" s="42">
        <f>Tabelle4[[#This Row],[Einzelpreis]]*Tabelle4[[#This Row],[Menge]]</f>
        <v>0</v>
      </c>
    </row>
    <row r="51" spans="1:5" ht="21.75" customHeight="1" x14ac:dyDescent="0.25">
      <c r="A51" s="43"/>
      <c r="B51" s="43"/>
      <c r="C51" s="44" t="s">
        <v>19</v>
      </c>
      <c r="D51" s="44"/>
      <c r="E51" s="45">
        <f>(SUM(E31:E50))</f>
        <v>300</v>
      </c>
    </row>
    <row r="52" spans="1:5" ht="21.75" customHeight="1" x14ac:dyDescent="0.25">
      <c r="A52" s="43"/>
      <c r="B52" s="21"/>
      <c r="C52" s="46" t="s">
        <v>20</v>
      </c>
      <c r="D52" s="46"/>
      <c r="E52" s="47">
        <f>E51*19%</f>
        <v>57</v>
      </c>
    </row>
    <row r="53" spans="1:5" ht="9" customHeight="1" x14ac:dyDescent="0.25">
      <c r="A53" s="43"/>
      <c r="B53" s="43"/>
      <c r="C53" s="43"/>
      <c r="D53" s="43"/>
      <c r="E53" s="48"/>
    </row>
    <row r="54" spans="1:5" ht="21.75" customHeight="1" x14ac:dyDescent="0.25">
      <c r="A54" s="43"/>
      <c r="B54" s="43"/>
      <c r="C54" s="8" t="s">
        <v>21</v>
      </c>
      <c r="D54" s="8"/>
      <c r="E54" s="9">
        <f>E51+E52</f>
        <v>357</v>
      </c>
    </row>
    <row r="55" spans="1:5" ht="15.75" customHeight="1" x14ac:dyDescent="0.25">
      <c r="A55" s="14"/>
      <c r="B55" s="15"/>
      <c r="C55" s="16"/>
      <c r="D55" s="16"/>
      <c r="E55" s="17"/>
    </row>
    <row r="56" spans="1:5" ht="15.75" customHeight="1" x14ac:dyDescent="0.25">
      <c r="A56" s="10"/>
      <c r="B56" s="11"/>
      <c r="C56" s="12"/>
    </row>
    <row r="57" spans="1:5" x14ac:dyDescent="0.25">
      <c r="A57" s="57" t="s">
        <v>22</v>
      </c>
      <c r="B57" s="57"/>
      <c r="C57" s="57"/>
      <c r="D57" s="57"/>
      <c r="E57" s="57"/>
    </row>
    <row r="58" spans="1:5" ht="32.1" customHeight="1" x14ac:dyDescent="0.25">
      <c r="A58" s="57"/>
      <c r="B58" s="57"/>
      <c r="C58" s="57"/>
      <c r="D58" s="57"/>
      <c r="E58" s="57"/>
    </row>
    <row r="59" spans="1:5" ht="15.75" x14ac:dyDescent="0.25">
      <c r="A59" s="29"/>
      <c r="B59" s="29"/>
      <c r="C59" s="29"/>
      <c r="D59" s="29"/>
      <c r="E59" s="29"/>
    </row>
    <row r="60" spans="1:5" ht="15.75" customHeight="1" x14ac:dyDescent="0.25">
      <c r="A60" s="49" t="s">
        <v>23</v>
      </c>
      <c r="B60" s="49"/>
      <c r="C60" s="29"/>
      <c r="D60" s="29"/>
      <c r="E60" s="29"/>
    </row>
    <row r="61" spans="1:5" ht="6" customHeight="1" x14ac:dyDescent="0.25">
      <c r="A61" s="3"/>
    </row>
    <row r="62" spans="1:2" ht="33" customHeight="1" x14ac:dyDescent="0.25">
      <c r="A62" s="50" t="s">
        <v>24</v>
      </c>
      <c r="B62" s="51"/>
    </row>
  </sheetData>
  <mergeCells count="11">
    <mergeCell ref="A60:B60"/>
    <mergeCell ref="A62:B62"/>
    <mergeCell ref="A2:C2"/>
    <mergeCell ref="A3:C3"/>
    <mergeCell ref="A22:C22"/>
    <mergeCell ref="A24:B24"/>
    <mergeCell ref="A5:B5"/>
    <mergeCell ref="A6:B6"/>
    <mergeCell ref="A57:E58"/>
    <mergeCell ref="A26:E26"/>
    <mergeCell ref="A27:E28"/>
  </mergeCells>
  <phoneticPr fontId="9" type="noConversion"/>
  <pageMargins left="1" right="1" top="1" bottom="1" header="0.5" footer="0.5"/>
  <pageSetup paperSize="9" scale="74" orientation="portrait" r:id="rId1"/>
  <headerFooter scaleWithDoc="0" alignWithMargins="0">
    <oddFooter>&amp;L&amp;8Aust Umzüge &amp; Haushaltsauflösungen
Kaiserstr. 32
31134  Hildesheim &amp;C&amp;8Sparkasse Hildesheim Goslar Peine
 IBAN: DE67259501300057453749 
BIC: NOLADE21HIK &amp;R&amp;8 St.Nr.: 30/101/22146 
USt-IdNr.: DE330779170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Firmenname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Windows7</dc:creator>
  <cp:keywords/>
  <dc:description/>
  <cp:lastModifiedBy>Alex Aust</cp:lastModifiedBy>
  <cp:revision/>
  <dcterms:created xsi:type="dcterms:W3CDTF">2022-12-28T15:38:18Z</dcterms:created>
  <dcterms:modified xsi:type="dcterms:W3CDTF">2026-03-02T21:07:28Z</dcterms:modified>
  <cp:category/>
  <cp:contentStatus/>
</cp:coreProperties>
</file>